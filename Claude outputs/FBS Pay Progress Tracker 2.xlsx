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Tracker" sheetId="2" r:id="rId6"/>
    <sheet state="visible" name="Schedule" sheetId="3" r:id="rId7"/>
    <sheet state="visible" name="Weekly" sheetId="4" r:id="rId8"/>
    <sheet state="visible" name="User Stories" sheetId="5" r:id="rId9"/>
    <sheet state="visible" name="Story Summary" sheetId="6" r:id="rId10"/>
    <sheet state="visible" name="Lists" sheetId="7" r:id="rId11"/>
    <sheet state="visible" name="Plan calc"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Input. Name shown on every sheet and in the print footer text.</t>
      </text>
    </comment>
    <comment authorId="0" ref="J32">
      <text>
        <t xml:space="preserve">Progress is weighted by Effort (days): SUMPRODUCT(effort, progress) / total effort. Each task's progress comes from its Status (see Lists sheet).</t>
      </text>
    </comment>
    <comment authorId="0" ref="C5">
      <text>
        <t xml:space="preserve">Formula =TODAY(). Type a date over it to see the tracker as of that day.</t>
      </text>
    </comment>
    <comment authorId="0" ref="C4">
      <text>
        <t xml:space="preserve">Input. Week 1 starts on this date. Set to 15 Sep 2026 so the 11-week plan ends 30 Nov 2026. Weeks and effort days are planning estimates.</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
      <text>
        <t xml:space="preserve">Example of the expected format: 0.0% at the start. In later weeks enter e.g. 12.5%.</t>
      </text>
    </comment>
  </commentList>
</comments>
</file>

<file path=xl/sharedStrings.xml><?xml version="1.0" encoding="utf-8"?>
<sst xmlns="http://schemas.openxmlformats.org/spreadsheetml/2006/main" count="606" uniqueCount="322">
  <si>
    <t>FBS Pay - OPS Web App Development Dashboard</t>
  </si>
  <si>
    <t>OVERALL PROGRESS</t>
  </si>
  <si>
    <t>PLANNED BY END OF THIS WEEK</t>
  </si>
  <si>
    <t>AGAINST PLAN (POINTS)</t>
  </si>
  <si>
    <t>TASKS DONE</t>
  </si>
  <si>
    <t>Progress by work stream</t>
  </si>
  <si>
    <t>Task status</t>
  </si>
  <si>
    <t>Work stream</t>
  </si>
  <si>
    <t>Effort (days)</t>
  </si>
  <si>
    <t>Actual %</t>
  </si>
  <si>
    <t>Planned %</t>
  </si>
  <si>
    <t>Status</t>
  </si>
  <si>
    <t>Tasks</t>
  </si>
  <si>
    <t>Foundation</t>
  </si>
  <si>
    <t>Done</t>
  </si>
  <si>
    <t>Workforce and time</t>
  </si>
  <si>
    <t>In progress</t>
  </si>
  <si>
    <t>Payroll and compliance</t>
  </si>
  <si>
    <t>In testing</t>
  </si>
  <si>
    <t>Portals, platform and launch</t>
  </si>
  <si>
    <t>Not started</t>
  </si>
  <si>
    <t>All streams</t>
  </si>
  <si>
    <t>Behind plan</t>
  </si>
  <si>
    <t>Total tasks</t>
  </si>
  <si>
    <t>Charts update when you change Status on the Tracker sheet and enter Actual % on the Weekly sheet.</t>
  </si>
  <si>
    <t>FBS Pay - OPS Web App Development Tracker</t>
  </si>
  <si>
    <t>Project owner</t>
  </si>
  <si>
    <t>Thea Consignado</t>
  </si>
  <si>
    <t>HOW TO USE</t>
  </si>
  <si>
    <t>Project start date</t>
  </si>
  <si>
    <t>1. Set the project owner and start date (C3, C4). Week 1 starts 15 Sep 2026; week 11 ends 30 Nov 2026 (target finish).</t>
  </si>
  <si>
    <t>Report date (default = today)</t>
  </si>
  <si>
    <t>2. Pick a Status for each task in column I. Progress % is calculated from it (set what each status counts as on the Lists sheet).</t>
  </si>
  <si>
    <t>Current week (0 = not started)</t>
  </si>
  <si>
    <t>3. At the end of each week, copy Overall progress (Tracker J32) into the Weekly sheet, column D.</t>
  </si>
  <si>
    <t>Blue text on yellow = editable. Weeks and effort days are planning estimates; change them freely (columns D to F).</t>
  </si>
  <si>
    <t>ID</t>
  </si>
  <si>
    <t>Task</t>
  </si>
  <si>
    <t>Start wk</t>
  </si>
  <si>
    <t>End wk</t>
  </si>
  <si>
    <t>Start date</t>
  </si>
  <si>
    <t>End date</t>
  </si>
  <si>
    <t>Progress %</t>
  </si>
  <si>
    <t>Planned % (this week)</t>
  </si>
  <si>
    <t>Against plan (pts)</t>
  </si>
  <si>
    <t>Flag</t>
  </si>
  <si>
    <t>Notes</t>
  </si>
  <si>
    <t>T01</t>
  </si>
  <si>
    <t>Project setup, architecture, UI/UX foundation</t>
  </si>
  <si>
    <t>Laravel 12 + Inertia/React + Fortify + Spatie. Ops layout (AppShell, sidebar, topbar), shared UI kit, and company brand/theme (BrandLogo, brandTheme) in place. Oct 8: shared mobile-responsive pieces added (tabs become dropdown at 1024px, compact MetricCard, chartResponsive, record cards).</t>
  </si>
  <si>
    <t>T02</t>
  </si>
  <si>
    <t>Database design and multi-tenant setup</t>
  </si>
  <si>
    <t xml:space="preserve">Migrations done: companies, branches, employees, activity_logs, users tenancy, permission tables, BelongsToCompany. Oct 9: new migrations for user invite tracking, audit-trail columns on activity_logs, company info, work_schedules, payroll_groups, earning/deduction/overtime-rate settings, and holidays. Tables for attendance, leave, payroll runs, loans etc. still not created.</t>
  </si>
  <si>
    <t>T03</t>
  </si>
  <si>
    <t>Login, password reset, roles and permissions</t>
  </si>
  <si>
    <t xml:space="preserve">Backend live: Fortify login/forgot/reset, active-user middleware, 6 roles via Spatie. Capabilities updated (new reports.payroll.view, employees.bank.edit; HR admin limited to no payroll processing). Auth, security and profile feature tests exist. Role editing UI still on mock data. Oct 8: plans.ts and permissions.ts (RBAC) updated; Payroll Admin sidebar no longer shows an empty Settings header. Oct 8 review: status lowered from In testing to In progress. Only the frontend (mock data) exists; there is no working backend yet, so it cannot count as built-and-tested. Oct 9: backend permission-map API (PermissionMapController, role and capability resources) and UserPolicy added, with tests. Role editing screen still reads mock data, so left at In progress until it is wired.</t>
  </si>
  <si>
    <t>T04</t>
  </si>
  <si>
    <t>User accounts, access and activity logs</t>
  </si>
  <si>
    <t xml:space="preserve">User Access page (FE, mock) has permission catalog, userService and Activity Log panel. Oct 8: Users and Access routes and userService updated; Users page uses cards on mobile. Oct 9 backend: UserController API (list, create and invite, change role, activate/deactivate, resend invite, reset access) with queued, throttled invite emails; Activity Log API with filters and audit-trail columns; 19 user-management and 10 activity-log feature tests. Users and Access pages and userService still import mock data, so not wired to the API yet. Left at In progress; can move to In testing once wired.</t>
  </si>
  <si>
    <t>T05</t>
  </si>
  <si>
    <t>Company information, payroll settings, holidays</t>
  </si>
  <si>
    <t xml:space="preserve">Company Settings page built (FE, mock/local stores). Oct 8: tabs become a dropdown on small screens (FE only). Oct 9 backend: Company Info API (show, update, logo upload/remove, WebP accepted); Payroll Settings API (payroll groups with employee assignment and calendar, earning and deduction types, overtime and holiday rates, payroll rules, work schedules); Holidays API (CRUD, import Philippine defaults; holiday pay rates now live only in Overtime and Holiday Rates). 39 feature tests (company info, payroll settings, holidays). Company Settings page and payrollSettingsService still use mock data, so not wired yet.</t>
  </si>
  <si>
    <t>T06</t>
  </si>
  <si>
    <t>Branches and onboarding</t>
  </si>
  <si>
    <t>Branches and Onboarding pages built (FE, mock), incl. add/details dialogs and branch departments panel. Branch model exists; no controller or API. Oct 8: Branches overflow fixed and tabs become a dropdown on small screens (FE only).</t>
  </si>
  <si>
    <t>T07</t>
  </si>
  <si>
    <t>Employee management (list, profile, import)</t>
  </si>
  <si>
    <t xml:space="preserve">FE list, profile, add/import dialogs, bulk employee actions and department select built. Backend: store/update endpoints, validation, activity log and EmployeeTest feature tests. List/show still read mock data. Oct 8 review: status lowered from In testing to In progress. Only the frontend (mock data) exists; there is no working backend yet, so it cannot count as built-and-tested. Oct 9 (FE only): Employee Profile page updated. Backend unchanged since Oct 8: still store/update only; list and show read mock data.</t>
  </si>
  <si>
    <t>T08</t>
  </si>
  <si>
    <t>Attendance, adjustments and biometrics</t>
  </si>
  <si>
    <t xml:space="preserve">Attendance page, adjustments list, biometrics import dialog and schedule review built (FE, mock). No attendance tables or API yet. Oct 8: Attendance tabs become a dropdown on small screens (FE only). Oct 8 review: status lowered from In testing to In progress. Only the frontend (mock data) exists; there is no working backend yet, so it cannot count as built-and-tested. Oct 9 (FE only): biometrics import reworked, late-cycle rule, schedule review table, WFH limit store, WFH panel and apply dialog, attendance and WFH services updated. Still mock; no attendance tables or API.</t>
  </si>
  <si>
    <t>T09</t>
  </si>
  <si>
    <t>Schedules (roster, teams, shift templates)</t>
  </si>
  <si>
    <t xml:space="preserve">Roster, Teams and supervisors, Shift templates tabs built (FE, mock). Backend pending. Oct 8: Schedules tab/dropdown switch aligned at 1024px (FE only). Oct 8 review: status lowered from In testing to In progress. Only the frontend (mock data) exists; there is no working backend yet, so it cannot count as built-and-tested. Oct 9: work_schedules table and Work Schedules API added under Payroll Settings; ESS Schedule page and schedules routes updated (FE only). Roster, Teams and Shift templates tabs are still on mock data.</t>
  </si>
  <si>
    <t>T10</t>
  </si>
  <si>
    <t>Leave types, requests, approvals and balances</t>
  </si>
  <si>
    <t>Leave page built (FE, mock) with leave types panel, requests list and grant-credits dialog. Backend pending. Oct 8: Leave tabs become a dropdown on small screens (FE only). Oct 8 review: status lowered from In testing to In progress. Only the frontend (mock data) exists; there is no working backend yet, so it cannot count as built-and-tested.</t>
  </si>
  <si>
    <t>T11</t>
  </si>
  <si>
    <t>Overtime and night differential</t>
  </si>
  <si>
    <t>Overtime page expanded + ESS OT application built (FE, mock). Backend pending. Oct 8: New Overtime Request dialog added and Overtime routes updated; ESS Overtime now uses cards (FE only).</t>
  </si>
  <si>
    <t>T12</t>
  </si>
  <si>
    <t>Hourly and output compensation approvals</t>
  </si>
  <si>
    <t>Approvals page built (FE, mock). Backend pending. Oct 8: Approvals routes updated (FE only).</t>
  </si>
  <si>
    <t>T13</t>
  </si>
  <si>
    <t>Benefits, loans and deductions</t>
  </si>
  <si>
    <t>Loans and Deductions: benefits, benefit plans, loan types, employee loans, recurring/one-time deductions and transfer/add-employee dialogs built (FE, mock). Backend pending. Oct 8: Benefits, Loans and Deductions views reworked (RecordCard, SectionIntro); Payroll Inputs got Year/Month filter and mobile cards (FE only).</t>
  </si>
  <si>
    <t>T14</t>
  </si>
  <si>
    <t>Payroll computation, runs and approvals</t>
  </si>
  <si>
    <t>Payroll list, create-period dialog, period detail (expanded), computation breakdown, pay frequency and rate logic built (FE, mock). Computation not yet server-side. Oct 8: PayrollListPage and PayrollPeriodDetailPage reworked (about 220 lines changed). Still FE/mock. Oct 8 review: status lowered from In testing to In progress. Only the frontend (mock data) exists; there is no working backend yet, so it cannot count as built-and-tested.</t>
  </si>
  <si>
    <t>T15</t>
  </si>
  <si>
    <t>Payslips (admin and employee views, email)</t>
  </si>
  <si>
    <t>Payslip list/detail and payslip email service built (FE, mock). PDF/email delivery not yet server-side. Oct 8: Payslips got search, filter and cards; payslip email preview updated; ESS Payslips now cards (FE only).</t>
  </si>
  <si>
    <t>T16</t>
  </si>
  <si>
    <t>Bonuses, incentives and 13th month pay</t>
  </si>
  <si>
    <t>Bonuses and 13th month pages + payslips built (FE, mock). Backend pending. Oct 8: Bonuses Add dialog split into sections with Year/Month filter; 13th Month sections, summary cards and mobile cards cleaned up (FE only).</t>
  </si>
  <si>
    <t>T17</t>
  </si>
  <si>
    <t>Statutory contributions and withholding tax</t>
  </si>
  <si>
    <t>Statutory page (SSS, PhilHealth, Pag-IBIG, tax cards), tax compliance logic and tax compliance reports built (FE, mock). Contribution tables not yet in DB. Oct 8: Statutory got BracketAccordion, SSS and Withholding Tax cards, and Employee Contributions cards (FE only). Oct 8 review: status lowered from In testing to In progress. Only the frontend (mock data) exists; there is no working backend yet, so it cannot count as built-and-tested.</t>
  </si>
  <si>
    <t>T18</t>
  </si>
  <si>
    <t>Reports, dashboard and notifications</t>
  </si>
  <si>
    <t xml:space="preserve">Reports (basic, advanced, tax compliance, xlsx export), Admin and HR dashboards with tax alerts, and Notifications built (FE, mock). Insights page is Coming Soon only. Oct 8: Advanced Reports charts made mobile-friendly, ReportRecordCard added, Basic Reports converted to cards; dashboards use 2-column summary cards; notification highlight works on mobile cards (FE only). Oct 8 review: status lowered from In testing to In progress. Only the frontend (mock data) exists; there is no working backend yet, so it cannot count as built-and-tested. Oct 9 (FE only): Late and Absence report and Pay, Statutory and Loans report added or reworked, reports routes and HR dashboard updated.</t>
  </si>
  <si>
    <t>T19</t>
  </si>
  <si>
    <t>Employee and Manager self-service (ESS)</t>
  </si>
  <si>
    <t xml:space="preserve">ESS home, profile, payslips, attendance, overtime, leave, loans pages built (FE, mock). Manager approval views reuse admin pages. Oct 8: ESS Attendance, Overtime, Payslips and Work Output now cards (EssRecordCard); ESS Profile tabs become a dropdown (FE only). Oct 9 (FE only): ESS Schedule page, Request WFH dialog and WFH arrangement cards added.</t>
  </si>
  <si>
    <t>T20</t>
  </si>
  <si>
    <t>Super Admin: companies, subscription, plans</t>
  </si>
  <si>
    <t>Companies page (mock) and Subscription page built. Platform user mgmt, global tax/contribution tables, support tickets, platform reports not started. Oct 8: Super Admin Dashboard component added (about 257 lines); Companies and Subscription pages updated (FE only).</t>
  </si>
  <si>
    <t>T21</t>
  </si>
  <si>
    <t>Integrations and API (API keys, webhooks)</t>
  </si>
  <si>
    <t>Integrations page with API keys and webhooks UI built (FE, mock); connected services still Coming Soon. No backend. Oct 8: Integrations tabs become a dropdown on small screens (FE only).</t>
  </si>
  <si>
    <t>T22</t>
  </si>
  <si>
    <t>QA testing, bug fixing and performance checks</t>
  </si>
  <si>
    <t>Not started. Previous tracker had Final QA rows marked Completed; no QA evidence in the project, so reset.</t>
  </si>
  <si>
    <t>T23</t>
  </si>
  <si>
    <t>UAT, pilot and go-live</t>
  </si>
  <si>
    <t>Not started.</t>
  </si>
  <si>
    <t>Total / overall</t>
  </si>
  <si>
    <t>Notes: Status drives Progress %; overall progress is weighted by effort days. 'Behind plan' = at least 25 points behind the planned % for the current week. Points = percentage points.</t>
  </si>
  <si>
    <t>Schedule: weekly plan with progress (target finish Nov 30, 2026)</t>
  </si>
  <si>
    <t>Done portion of the task (matches Progress %)</t>
  </si>
  <si>
    <t>Month 1</t>
  </si>
  <si>
    <t>Month 2</t>
  </si>
  <si>
    <t>Month 3</t>
  </si>
  <si>
    <t>Remaining / planned duration (not yet done)</t>
  </si>
  <si>
    <t>Progress</t>
  </si>
  <si>
    <t>Week starts</t>
  </si>
  <si>
    <t>Weekly progress: planned vs actual</t>
  </si>
  <si>
    <t>Week</t>
  </si>
  <si>
    <t>Actual % (enter)</t>
  </si>
  <si>
    <t>Note</t>
  </si>
  <si>
    <t>Start</t>
  </si>
  <si>
    <t>User Stories: Online Payroll System (OPS)</t>
  </si>
  <si>
    <t>Module</t>
  </si>
  <si>
    <t>Role</t>
  </si>
  <si>
    <t>User story</t>
  </si>
  <si>
    <t>Acceptance criteria</t>
  </si>
  <si>
    <t>Priority</t>
  </si>
  <si>
    <t>Task status (from Tracker)</t>
  </si>
  <si>
    <t>Story status</t>
  </si>
  <si>
    <t>US01</t>
  </si>
  <si>
    <t>Accounts and access</t>
  </si>
  <si>
    <t>Company Admin</t>
  </si>
  <si>
    <t>As a Company Admin, I want to log in securely and log out, so that only authorized staff can open payroll data.</t>
  </si>
  <si>
    <t>Login with email and password; inactive users are blocked; session ends on logout.</t>
  </si>
  <si>
    <t>Must</t>
  </si>
  <si>
    <t>US02</t>
  </si>
  <si>
    <t>Any user</t>
  </si>
  <si>
    <t>As a user, I want to reset a forgotten password by email, so that I can regain access without calling support.</t>
  </si>
  <si>
    <t>Forgot password sends a reset link; reset page validates the token and password rules.</t>
  </si>
  <si>
    <t>US03</t>
  </si>
  <si>
    <t>As a Company Admin, I want to assign a role to each user (HR, Payroll, Manager, Employee), so that people only see what they need.</t>
  </si>
  <si>
    <t>Each role has a fixed permission list; unauthorized pages show a Forbidden page.</t>
  </si>
  <si>
    <t>US04</t>
  </si>
  <si>
    <t>As a Company Admin, I want to create users and edit their roles and permissions, so that access follows our org changes.</t>
  </si>
  <si>
    <t>Add, deactivate and edit users; permission changes apply on next request.</t>
  </si>
  <si>
    <t>US05</t>
  </si>
  <si>
    <t>As a Company Admin, I want an activity log of key actions, so that I can audit who changed what.</t>
  </si>
  <si>
    <t>Log shows user, action, target and time for employee, payroll and settings changes.</t>
  </si>
  <si>
    <t>Should</t>
  </si>
  <si>
    <t>US06</t>
  </si>
  <si>
    <t>Company setup</t>
  </si>
  <si>
    <t>As a Company Admin, I want to set company information and payroll settings, so that payroll follows our policy.</t>
  </si>
  <si>
    <t>Company details, pay frequency, rates and rules saved per company.</t>
  </si>
  <si>
    <t>US07</t>
  </si>
  <si>
    <t>As a Company Admin, I want to manage holidays, so that holiday pay is computed correctly.</t>
  </si>
  <si>
    <t>Add regular and special holidays; payroll reads them by date.</t>
  </si>
  <si>
    <t>US08</t>
  </si>
  <si>
    <t>As a Company Admin, I want to manage branches and follow an onboarding checklist, so that a new company is ready for payroll.</t>
  </si>
  <si>
    <t>Branch CRUD; checklist shows steps done and marks Ready for Payroll.</t>
  </si>
  <si>
    <t>US09</t>
  </si>
  <si>
    <t>Employees</t>
  </si>
  <si>
    <t>HR Admin</t>
  </si>
  <si>
    <t>As an HR Admin, I want a searchable employee list, so that I can find any employee quickly.</t>
  </si>
  <si>
    <t>Search and filters by branch, status and department; data limited to own company.</t>
  </si>
  <si>
    <t>US10</t>
  </si>
  <si>
    <t>As an HR Admin, I want to add and edit an employee profile, so that records stay accurate.</t>
  </si>
  <si>
    <t>Required fields validated; create and update are saved and written to the activity log.</t>
  </si>
  <si>
    <t>US11</t>
  </si>
  <si>
    <t>As an HR Admin, I want to import employees from a file, so that I do not retype the whole roster.</t>
  </si>
  <si>
    <t>Import validates rows and reports errors before saving.</t>
  </si>
  <si>
    <t>US12</t>
  </si>
  <si>
    <t>Payroll Admin</t>
  </si>
  <si>
    <t>As a Payroll Admin, I want to set each employee's pay rate and compensation type, so that payroll computes the right amount.</t>
  </si>
  <si>
    <t>Monthly, daily, hourly and output-based rates supported; changes need permission.</t>
  </si>
  <si>
    <t>US13</t>
  </si>
  <si>
    <t>Attendance and schedules</t>
  </si>
  <si>
    <t>As an HR Admin, I want to view and filter attendance records, so that I can check who worked and when.</t>
  </si>
  <si>
    <t>Records by date, employee and status with late/absent/overtime flags.</t>
  </si>
  <si>
    <t>US14</t>
  </si>
  <si>
    <t>As an HR Admin, I want to adjust attendance with a reason, so that errors are corrected with a trail.</t>
  </si>
  <si>
    <t>Adjustment needs a reason and is logged and approvable.</t>
  </si>
  <si>
    <t>US15</t>
  </si>
  <si>
    <t>As an HR Admin, I want to import biometric logs, so that attendance is not typed by hand.</t>
  </si>
  <si>
    <t>Biometric file import maps to employees and flags unmatched rows.</t>
  </si>
  <si>
    <t>US16</t>
  </si>
  <si>
    <t>As an HR Admin, I want a roster with shift templates, so that every employee has a schedule.</t>
  </si>
  <si>
    <t>Assign shifts, rest days and flexible hours; templates reusable.</t>
  </si>
  <si>
    <t>US17</t>
  </si>
  <si>
    <t>Manager</t>
  </si>
  <si>
    <t>As a Manager, I want teams and supervisors set up, so that approvals go to the right person.</t>
  </si>
  <si>
    <t>Teams have a supervisor; approvals route by team.</t>
  </si>
  <si>
    <t>US18</t>
  </si>
  <si>
    <t>Leave, overtime and approvals</t>
  </si>
  <si>
    <t>As an HR Admin, I want to define leave types and policies, so that leave rules match company policy.</t>
  </si>
  <si>
    <t>Leave types with credits, accrual and paid/unpaid setting.</t>
  </si>
  <si>
    <t>US19</t>
  </si>
  <si>
    <t>Employee</t>
  </si>
  <si>
    <t>As an Employee, I want to file a leave request and see my balance, so that I know my remaining leave.</t>
  </si>
  <si>
    <t>Request shows balance; status updates on approval or rejection.</t>
  </si>
  <si>
    <t>US20</t>
  </si>
  <si>
    <t>As a Manager, I want to approve or reject my team's leave and overtime, so that requests move fast.</t>
  </si>
  <si>
    <t>Approver sees only subordinates; decision is logged.</t>
  </si>
  <si>
    <t>US21</t>
  </si>
  <si>
    <t>As an Employee, I want to file overtime and night differential requests, so that extra hours are paid.</t>
  </si>
  <si>
    <t>Request has date, hours and reason; approved hours feed payroll.</t>
  </si>
  <si>
    <t>US22</t>
  </si>
  <si>
    <t>As a Payroll Admin, I want to review hourly and output approvals, so that only approved work is paid.</t>
  </si>
  <si>
    <t>Approval queue with approve/reject and totals per employee.</t>
  </si>
  <si>
    <t>US23</t>
  </si>
  <si>
    <t>As a Payroll Admin, I want to see pending approvals on one screen, so that nothing blocks the payroll run.</t>
  </si>
  <si>
    <t>Pending counts shown by type with links to each item.</t>
  </si>
  <si>
    <t>US24</t>
  </si>
  <si>
    <t>Loans, deductions and statutory</t>
  </si>
  <si>
    <t>As a Payroll Admin, I want to manage benefits and allowances, so that they appear in payslips.</t>
  </si>
  <si>
    <t>Benefit types and employee assignments with amounts.</t>
  </si>
  <si>
    <t>US25</t>
  </si>
  <si>
    <t>As a Payroll Admin, I want to record employee loans and their schedule, so that payments are deducted each period.</t>
  </si>
  <si>
    <t>Loan types, amortization schedule and remaining balance.</t>
  </si>
  <si>
    <t>US26</t>
  </si>
  <si>
    <t>As a Payroll Admin, I want recurring and one-time deductions, so that payroll reflects all deductions.</t>
  </si>
  <si>
    <t>Deductions applied by period and shown on the payslip.</t>
  </si>
  <si>
    <t>US27</t>
  </si>
  <si>
    <t>As a Payroll Admin, I want configurable SSS, PhilHealth and Pag-IBIG tables, so that contributions follow current rules.</t>
  </si>
  <si>
    <t>Contribution tables editable and effective-dated; not hard-coded.</t>
  </si>
  <si>
    <t>US28</t>
  </si>
  <si>
    <t>As a Payroll Admin, I want withholding tax computed automatically, so that taxes are correct per period.</t>
  </si>
  <si>
    <t>Tax computed from taxable income and shown in the breakdown.</t>
  </si>
  <si>
    <t>US29</t>
  </si>
  <si>
    <t>Payroll and payslips</t>
  </si>
  <si>
    <t>As a Payroll Admin, I want to run payroll for a period, so that gross, deductions and net pay are computed for everyone.</t>
  </si>
  <si>
    <t>Run uses attendance, approvals, loans and statutory; totals per employee.</t>
  </si>
  <si>
    <t>US30</t>
  </si>
  <si>
    <t>As a Payroll Admin, I want to see the computation breakdown per employee, so that I can explain any figure.</t>
  </si>
  <si>
    <t>Breakdown lists every earning and deduction line.</t>
  </si>
  <si>
    <t>US31</t>
  </si>
  <si>
    <t>As a Company Admin, I want to approve and finalize a payroll run, so that it is locked and trusted.</t>
  </si>
  <si>
    <t>Approval step; finalized runs cannot be edited.</t>
  </si>
  <si>
    <t>US32</t>
  </si>
  <si>
    <t>As a Payroll Admin, I want to generate payslips, so that every employee gets a record.</t>
  </si>
  <si>
    <t>Payslip generated per employee per run; printable.</t>
  </si>
  <si>
    <t>US33</t>
  </si>
  <si>
    <t>As a Payroll Admin, I want to email payslips to employees, so that distribution is automatic.</t>
  </si>
  <si>
    <t>Email sent per employee with delivery status.</t>
  </si>
  <si>
    <t>US34</t>
  </si>
  <si>
    <t>Bonuses and 13th month</t>
  </si>
  <si>
    <t>As a Payroll Admin, I want to generate bonuses and incentives with payslips, so that they are paid correctly.</t>
  </si>
  <si>
    <t>Bonus runs per employee with a bonus payslip.</t>
  </si>
  <si>
    <t>US35</t>
  </si>
  <si>
    <t>As a Payroll Admin, I want to generate 13th month pay, so that it is computed from the year's earnings.</t>
  </si>
  <si>
    <t>13th month run with per-employee payslip.</t>
  </si>
  <si>
    <t>US36</t>
  </si>
  <si>
    <t>Reports and dashboard</t>
  </si>
  <si>
    <t>As a Company Admin, I want a dashboard with summary cards and a payroll calendar, so that I see what needs attention.</t>
  </si>
  <si>
    <t>Cards, pending requests, payroll summary, recent employees and reminders.</t>
  </si>
  <si>
    <t>US37</t>
  </si>
  <si>
    <t>As a Payroll Admin, I want to export employee, payroll and statutory reports, so that I can submit and file them.</t>
  </si>
  <si>
    <t>Reports export to file; filters by period and branch.</t>
  </si>
  <si>
    <t>US38</t>
  </si>
  <si>
    <t>As a user, I want notifications for tasks and decisions, so that I do not miss approvals.</t>
  </si>
  <si>
    <t>Bell and list with links to the item.</t>
  </si>
  <si>
    <t>Could</t>
  </si>
  <si>
    <t>US39</t>
  </si>
  <si>
    <t>Self-service portals</t>
  </si>
  <si>
    <t>As an Employee, I want to see my profile, attendance and schedule, so that I can check my own records.</t>
  </si>
  <si>
    <t>ESS shows only the logged-in employee's data.</t>
  </si>
  <si>
    <t>US40</t>
  </si>
  <si>
    <t>As an Employee, I want to view and download my payslips, so that I do not ask HR for copies.</t>
  </si>
  <si>
    <t>Payslip list and detail for own records only.</t>
  </si>
  <si>
    <t>US41</t>
  </si>
  <si>
    <t>As a Manager, I want to see my team's attendance and pending approvals, so that I can act on them.</t>
  </si>
  <si>
    <t>Manager menu shows subordinates only.</t>
  </si>
  <si>
    <t>US42</t>
  </si>
  <si>
    <t>Platform and integrations</t>
  </si>
  <si>
    <t>Super Admin</t>
  </si>
  <si>
    <t>As a Super Admin, I want to view and onboard companies, so that I can run the SaaS platform.</t>
  </si>
  <si>
    <t>Company list, create and activate or suspend.</t>
  </si>
  <si>
    <t>US43</t>
  </si>
  <si>
    <t>As a Super Admin, I want to manage plans and subscriptions, so that access follows what each company pays.</t>
  </si>
  <si>
    <t>Plans, company subscriptions and plan-based access.</t>
  </si>
  <si>
    <t>US44</t>
  </si>
  <si>
    <t>As a Company Admin, I want API keys and webhooks, so that our other systems can connect.</t>
  </si>
  <si>
    <t>Create and revoke keys; add webhooks with events.</t>
  </si>
  <si>
    <t>US45</t>
  </si>
  <si>
    <t>Quality and launch</t>
  </si>
  <si>
    <t>Project Owner</t>
  </si>
  <si>
    <t>As the Project Owner, I want every module tested and defects fixed, so that problems are found before users see them.</t>
  </si>
  <si>
    <t>Test results per module; defects fixed and retested; performance checked.</t>
  </si>
  <si>
    <t>US46</t>
  </si>
  <si>
    <t>As the Project Owner, I want UAT sign-off and a pilot with a real company, so that we launch only when it works.</t>
  </si>
  <si>
    <t>UAT scenarios run by real users; written sign-off before go-live.</t>
  </si>
  <si>
    <t>Priority: Must = needed for launch, Should = important, Could = nice to have (assumed by the author). Set each story's Status in column I (Progress % follows from it). Task status is shown for reference only.</t>
  </si>
  <si>
    <t>User story summary</t>
  </si>
  <si>
    <t>Summary</t>
  </si>
  <si>
    <t>Total stories</t>
  </si>
  <si>
    <t>Must have</t>
  </si>
  <si>
    <t>Should have</t>
  </si>
  <si>
    <t>Could have</t>
  </si>
  <si>
    <t>Stories done</t>
  </si>
  <si>
    <t>Average story progress</t>
  </si>
  <si>
    <t>Stories by module</t>
  </si>
  <si>
    <t>Stories</t>
  </si>
  <si>
    <t>Avg progress</t>
  </si>
  <si>
    <t>All figures are formulas linked to the User Stories sheet.</t>
  </si>
  <si>
    <t>Status list: what each status counts as</t>
  </si>
  <si>
    <t>Counts as progress</t>
  </si>
  <si>
    <t>What it means</t>
  </si>
  <si>
    <t>Work has not begun</t>
  </si>
  <si>
    <t>Being built or written</t>
  </si>
  <si>
    <t>Built; being tested or reviewed</t>
  </si>
  <si>
    <t>Finished and accepted</t>
  </si>
  <si>
    <t>Change the percentages (blue) if you want a different weighting. Keep Not started at 0% and Done at 100%. Do not rename the statuses: they feed the dropdowns, counts, and charts.</t>
  </si>
  <si>
    <t>Plan calculation (no inputs)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</si>
</sst>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0.0%"/>
    <numFmt numFmtId="165" formatCode="\+0.0;\-0.0;0.0"/>
    <numFmt numFmtId="166" formatCode="mmm\ d&quot;, &quot;yyyy"/>
    <numFmt numFmtId="167" formatCode="mmm\ d"/>
    <numFmt numFmtId="168" formatCode="\+0;\-0;0"/>
    <numFmt numFmtId="169" formatCode="\W0"/>
    <numFmt numFmtId="170" formatCode=";;;"/>
  </numFmts>
  <fonts count="32">
    <font>
      <sz val="11.0"/>
      <color theme="1"/>
      <name val="Calibri"/>
      <scheme val="minor"/>
    </font>
    <font>
      <b/>
      <sz val="22.0"/>
      <color rgb="FFFFFFFF"/>
      <name val="Arial"/>
    </font>
    <font>
      <sz val="11.0"/>
      <color theme="1"/>
      <name val="Calibri"/>
    </font>
    <font>
      <sz val="11.0"/>
      <color rgb="FFCFE3E0"/>
      <name val="Arial"/>
    </font>
    <font>
      <b/>
      <sz val="9.0"/>
      <color rgb="FF4F6068"/>
      <name val="Arial"/>
    </font>
    <font/>
    <font>
      <b/>
      <sz val="28.0"/>
      <color rgb="FF0E7C7B"/>
      <name val="Arial"/>
    </font>
    <font>
      <b/>
      <sz val="28.0"/>
      <color rgb="FF0F2B3A"/>
      <name val="Arial"/>
    </font>
    <font>
      <sz val="10.0"/>
      <color rgb="FF4F6068"/>
      <name val="Arial"/>
    </font>
    <font>
      <sz val="10.0"/>
      <color rgb="FF0F2B3A"/>
      <name val="Arial"/>
    </font>
    <font>
      <b/>
      <sz val="13.0"/>
      <color rgb="FF0F2B3A"/>
      <name val="Arial"/>
    </font>
    <font>
      <b/>
      <sz val="10.0"/>
      <color rgb="FFFFFFFF"/>
      <name val="Arial"/>
    </font>
    <font>
      <b/>
      <sz val="10.0"/>
      <color rgb="FF0F2B3A"/>
      <name val="Arial"/>
    </font>
    <font>
      <b/>
      <sz val="10.0"/>
      <color rgb="FF0E7C7B"/>
      <name val="Arial"/>
    </font>
    <font>
      <b/>
      <sz val="10.0"/>
      <color rgb="FF9A3412"/>
      <name val="Arial"/>
    </font>
    <font>
      <i/>
      <sz val="9.0"/>
      <color rgb="FF4F6068"/>
      <name val="Arial"/>
    </font>
    <font>
      <b/>
      <sz val="18.0"/>
      <color rgb="FFFFFFFF"/>
      <name val="Arial"/>
    </font>
    <font>
      <sz val="10.0"/>
      <color rgb="FFCFE3E0"/>
      <name val="Arial"/>
    </font>
    <font>
      <b/>
      <sz val="10.0"/>
      <color rgb="FF0000FF"/>
      <name val="Arial"/>
    </font>
    <font>
      <b/>
      <sz val="9.0"/>
      <color rgb="FF0E7C7B"/>
      <name val="Arial"/>
    </font>
    <font>
      <sz val="10.0"/>
      <color rgb="FF0000FF"/>
      <name val="Arial"/>
    </font>
    <font>
      <sz val="9.0"/>
      <color rgb="FF4F6068"/>
      <name val="Arial"/>
    </font>
    <font>
      <b/>
      <sz val="10.0"/>
      <color rgb="FF4F6068"/>
      <name val="Arial"/>
    </font>
    <font>
      <sz val="9.0"/>
      <color rgb="FF0F2B3A"/>
      <name val="Arial"/>
    </font>
    <font>
      <b/>
      <sz val="9.0"/>
      <color rgb="FF33444B"/>
      <name val="Arial"/>
    </font>
    <font>
      <b/>
      <sz val="9.0"/>
      <color rgb="FF0F2B3A"/>
      <name val="Arial"/>
    </font>
    <font>
      <b/>
      <sz val="9.0"/>
      <color rgb="FF0000FF"/>
      <name val="Arial"/>
    </font>
    <font>
      <b/>
      <sz val="11.0"/>
      <color rgb="FF0E7C7B"/>
      <name val="Arial"/>
    </font>
    <font>
      <b/>
      <sz val="11.0"/>
      <color rgb="FF0F2B3A"/>
      <name val="Arial"/>
    </font>
    <font>
      <color theme="1"/>
      <name val="Calibri"/>
    </font>
    <font>
      <sz val="9.0"/>
      <color rgb="FFFFFFFF"/>
      <name val="Arial"/>
    </font>
    <font>
      <sz val="8.0"/>
      <color rgb="FFFFFFFF"/>
      <name val="Arial"/>
    </font>
  </fonts>
  <fills count="14">
    <fill>
      <patternFill patternType="none"/>
    </fill>
    <fill>
      <patternFill patternType="lightGray"/>
    </fill>
    <fill>
      <patternFill patternType="solid">
        <fgColor rgb="FF0F2B3A"/>
        <bgColor rgb="FF0F2B3A"/>
      </patternFill>
    </fill>
    <fill>
      <patternFill patternType="solid">
        <fgColor rgb="FFFFFFFF"/>
        <bgColor rgb="FFFFFFFF"/>
      </patternFill>
    </fill>
    <fill>
      <patternFill patternType="solid">
        <fgColor rgb="FF0E7C7B"/>
        <bgColor rgb="FF0E7C7B"/>
      </patternFill>
    </fill>
    <fill>
      <patternFill patternType="solid">
        <fgColor rgb="FFE8A33D"/>
        <bgColor rgb="FFE8A33D"/>
      </patternFill>
    </fill>
    <fill>
      <patternFill patternType="solid">
        <fgColor rgb="FFD7EFEB"/>
        <bgColor rgb="FFD7EFEB"/>
      </patternFill>
    </fill>
    <fill>
      <patternFill patternType="solid">
        <fgColor rgb="FFFBE9C6"/>
        <bgColor rgb="FFFBE9C6"/>
      </patternFill>
    </fill>
    <fill>
      <patternFill patternType="solid">
        <fgColor rgb="FFDCE6F2"/>
        <bgColor rgb="FFDCE6F2"/>
      </patternFill>
    </fill>
    <fill>
      <patternFill patternType="solid">
        <fgColor rgb="FFE9E0F2"/>
        <bgColor rgb="FFE9E0F2"/>
      </patternFill>
    </fill>
    <fill>
      <patternFill patternType="solid">
        <fgColor rgb="FFE8ECEB"/>
        <bgColor rgb="FFE8ECEB"/>
      </patternFill>
    </fill>
    <fill>
      <patternFill patternType="solid">
        <fgColor rgb="FFEEF3F2"/>
        <bgColor rgb="FFEEF3F2"/>
      </patternFill>
    </fill>
    <fill>
      <patternFill patternType="solid">
        <fgColor rgb="FFFFFF99"/>
        <bgColor rgb="FFFFFF99"/>
      </patternFill>
    </fill>
    <fill>
      <patternFill patternType="solid">
        <fgColor rgb="FF9FD6D1"/>
        <bgColor rgb="FF9FD6D1"/>
      </patternFill>
    </fill>
  </fills>
  <borders count="13">
    <border/>
    <border>
      <left/>
      <right/>
      <top/>
      <bottom/>
    </border>
    <border>
      <left style="thin">
        <color rgb="FFD5DEDC"/>
      </left>
      <top style="thin">
        <color rgb="FFD5DEDC"/>
      </top>
      <bottom/>
    </border>
    <border>
      <right style="thin">
        <color rgb="FFD5DEDC"/>
      </right>
      <top style="thin">
        <color rgb="FFD5DEDC"/>
      </top>
      <bottom/>
    </border>
    <border>
      <left style="thin">
        <color rgb="FFD5DEDC"/>
      </left>
      <top/>
      <bottom/>
    </border>
    <border>
      <right style="thin">
        <color rgb="FFD5DEDC"/>
      </right>
      <top/>
      <bottom/>
    </border>
    <border>
      <left style="thin">
        <color rgb="FFD5DEDC"/>
      </left>
      <top/>
      <bottom style="thin">
        <color rgb="FFD5DEDC"/>
      </bottom>
    </border>
    <border>
      <right style="thin">
        <color rgb="FFD5DEDC"/>
      </right>
      <top/>
      <bottom style="thin">
        <color rgb="FFD5DEDC"/>
      </bottom>
    </border>
    <border>
      <bottom style="medium">
        <color rgb="FF0E7C7B"/>
      </bottom>
    </border>
    <border>
      <left style="thin">
        <color rgb="FFD5DEDC"/>
      </left>
      <right style="thin">
        <color rgb="FFD5DEDC"/>
      </right>
      <top style="thin">
        <color rgb="FFD5DEDC"/>
      </top>
      <bottom style="thin">
        <color rgb="FFD5DEDC"/>
      </bottom>
    </border>
    <border>
      <left style="thin">
        <color rgb="FFD5DEDC"/>
      </left>
      <top style="thin">
        <color rgb="FFD5DEDC"/>
      </top>
      <bottom style="thin">
        <color rgb="FFD5DEDC"/>
      </bottom>
    </border>
    <border>
      <top style="thin">
        <color rgb="FFD5DEDC"/>
      </top>
      <bottom style="thin">
        <color rgb="FFD5DEDC"/>
      </bottom>
    </border>
    <border>
      <right style="thin">
        <color rgb="FFD5DEDC"/>
      </right>
      <top style="thin">
        <color rgb="FFD5DEDC"/>
      </top>
      <bottom style="thin">
        <color rgb="FFD5DEDC"/>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0"/>
    </xf>
    <xf borderId="1" fillId="2" fontId="2" numFmtId="0" xfId="0" applyAlignment="1" applyBorder="1" applyFill="1" applyFont="1">
      <alignment shrinkToFit="0" vertical="bottom" wrapText="0"/>
    </xf>
    <xf borderId="1" fillId="2" fontId="3" numFmtId="0" xfId="0" applyAlignment="1" applyBorder="1" applyFill="1" applyFont="1">
      <alignment shrinkToFit="0" vertical="center" wrapText="0"/>
    </xf>
    <xf borderId="2" fillId="3" fontId="4" numFmtId="0" xfId="0" applyAlignment="1" applyBorder="1" applyFill="1" applyFont="1">
      <alignment horizontal="center" shrinkToFit="0" vertical="center" wrapText="0"/>
    </xf>
    <xf borderId="3" fillId="0" fontId="5" numFmtId="0" xfId="0" applyBorder="1" applyFont="1"/>
    <xf borderId="4" fillId="3" fontId="6" numFmtId="164" xfId="0" applyAlignment="1" applyBorder="1" applyFill="1" applyFont="1" applyNumberFormat="1">
      <alignment horizontal="center" shrinkToFit="0" vertical="center" wrapText="0"/>
    </xf>
    <xf borderId="5" fillId="0" fontId="5" numFmtId="0" xfId="0" applyBorder="1" applyFont="1"/>
    <xf borderId="4" fillId="3" fontId="7" numFmtId="164" xfId="0" applyAlignment="1" applyBorder="1" applyFill="1" applyFont="1" applyNumberFormat="1">
      <alignment horizontal="center" shrinkToFit="0" vertical="center" wrapText="0"/>
    </xf>
    <xf borderId="4" fillId="3" fontId="7" numFmtId="165" xfId="0" applyAlignment="1" applyBorder="1" applyFill="1" applyFont="1" applyNumberFormat="1">
      <alignment horizontal="center" shrinkToFit="0" vertical="center" wrapText="0"/>
    </xf>
    <xf borderId="4" fillId="3" fontId="7" numFmtId="0" xfId="0" applyAlignment="1" applyBorder="1" applyFill="1" applyFont="1">
      <alignment horizontal="center" shrinkToFit="0" vertical="center" wrapText="0"/>
    </xf>
    <xf borderId="4" fillId="3" fontId="8" numFmtId="0" xfId="0" applyAlignment="1" applyBorder="1" applyFill="1" applyFont="1">
      <alignment horizontal="center" shrinkToFit="0" vertical="center" wrapText="0"/>
    </xf>
    <xf borderId="6" fillId="4" fontId="9" numFmtId="0" xfId="0" applyAlignment="1" applyBorder="1" applyFill="1" applyFont="1">
      <alignment shrinkToFit="0" vertical="center" wrapText="0"/>
    </xf>
    <xf borderId="7" fillId="0" fontId="5" numFmtId="0" xfId="0" applyBorder="1" applyFont="1"/>
    <xf borderId="6" fillId="5" fontId="9" numFmtId="0" xfId="0" applyAlignment="1" applyBorder="1" applyFill="1" applyFont="1">
      <alignment shrinkToFit="0" vertical="center" wrapText="0"/>
    </xf>
    <xf borderId="6" fillId="2" fontId="9" numFmtId="0" xfId="0" applyAlignment="1" applyBorder="1" applyFill="1" applyFont="1">
      <alignment shrinkToFit="0" vertical="center" wrapText="0"/>
    </xf>
    <xf borderId="8" fillId="0" fontId="10" numFmtId="0" xfId="0" applyAlignment="1" applyBorder="1" applyFont="1">
      <alignment shrinkToFit="0" vertical="center" wrapText="0"/>
    </xf>
    <xf borderId="8" fillId="0" fontId="2" numFmtId="0" xfId="0" applyAlignment="1" applyBorder="1" applyFont="1">
      <alignment shrinkToFit="0" vertical="bottom" wrapText="0"/>
    </xf>
    <xf borderId="9" fillId="2" fontId="11" numFmtId="0" xfId="0" applyAlignment="1" applyBorder="1" applyFill="1" applyFont="1">
      <alignment horizontal="center" shrinkToFit="0" vertical="center" wrapText="1"/>
    </xf>
    <xf borderId="9" fillId="2" fontId="11" numFmtId="0" xfId="0" applyAlignment="1" applyBorder="1" applyFill="1" applyFont="1">
      <alignment horizontal="center" shrinkToFit="0" vertical="center" wrapText="0"/>
    </xf>
    <xf borderId="9" fillId="6" fontId="12" numFmtId="0" xfId="0" applyAlignment="1" applyBorder="1" applyFill="1" applyFont="1">
      <alignment shrinkToFit="0" vertical="center" wrapText="0"/>
    </xf>
    <xf borderId="9" fillId="0" fontId="9" numFmtId="0" xfId="0" applyAlignment="1" applyBorder="1" applyFont="1">
      <alignment horizontal="center" shrinkToFit="0" vertical="center" wrapText="0"/>
    </xf>
    <xf borderId="9" fillId="0" fontId="9" numFmtId="164" xfId="0" applyAlignment="1" applyBorder="1" applyFont="1" applyNumberFormat="1">
      <alignment horizontal="center" shrinkToFit="0" vertical="center" wrapText="0"/>
    </xf>
    <xf borderId="9" fillId="7" fontId="12" numFmtId="0" xfId="0" applyAlignment="1" applyBorder="1" applyFill="1" applyFont="1">
      <alignment shrinkToFit="0" vertical="center" wrapText="0"/>
    </xf>
    <xf borderId="9" fillId="8" fontId="12" numFmtId="0" xfId="0" applyAlignment="1" applyBorder="1" applyFill="1" applyFont="1">
      <alignment shrinkToFit="0" vertical="center" wrapText="0"/>
    </xf>
    <xf borderId="9" fillId="9" fontId="12" numFmtId="0" xfId="0" applyAlignment="1" applyBorder="1" applyFill="1" applyFont="1">
      <alignment shrinkToFit="0" vertical="center" wrapText="0"/>
    </xf>
    <xf borderId="9" fillId="10" fontId="12" numFmtId="0" xfId="0" applyAlignment="1" applyBorder="1" applyFill="1" applyFont="1">
      <alignment shrinkToFit="0" vertical="center" wrapText="0"/>
    </xf>
    <xf borderId="9" fillId="11" fontId="12" numFmtId="0" xfId="0" applyAlignment="1" applyBorder="1" applyFill="1" applyFont="1">
      <alignment shrinkToFit="0" vertical="center" wrapText="0"/>
    </xf>
    <xf borderId="9" fillId="11" fontId="12" numFmtId="0" xfId="0" applyAlignment="1" applyBorder="1" applyFill="1" applyFont="1">
      <alignment horizontal="center" shrinkToFit="0" vertical="center" wrapText="0"/>
    </xf>
    <xf borderId="9" fillId="11" fontId="13" numFmtId="164" xfId="0" applyAlignment="1" applyBorder="1" applyFill="1" applyFont="1" applyNumberFormat="1">
      <alignment horizontal="center" shrinkToFit="0" vertical="center" wrapText="0"/>
    </xf>
    <xf borderId="9" fillId="11" fontId="12" numFmtId="164" xfId="0" applyAlignment="1" applyBorder="1" applyFill="1" applyFont="1" applyNumberFormat="1">
      <alignment horizontal="center" shrinkToFit="0" vertical="center" wrapText="0"/>
    </xf>
    <xf borderId="9" fillId="0" fontId="14" numFmtId="0" xfId="0" applyAlignment="1" applyBorder="1" applyFont="1">
      <alignment shrinkToFit="0" vertical="center" wrapText="0"/>
    </xf>
    <xf borderId="9" fillId="0" fontId="14" numFmtId="0" xfId="0" applyAlignment="1" applyBorder="1" applyFont="1">
      <alignment horizontal="center" shrinkToFit="0" vertical="center" wrapText="0"/>
    </xf>
    <xf borderId="0" fillId="0" fontId="15" numFmtId="0" xfId="0" applyAlignment="1" applyFont="1">
      <alignment shrinkToFit="0" vertical="center" wrapText="0"/>
    </xf>
    <xf borderId="1" fillId="2" fontId="16" numFmtId="0" xfId="0" applyAlignment="1" applyBorder="1" applyFill="1" applyFont="1">
      <alignment shrinkToFit="0" vertical="center" wrapText="0"/>
    </xf>
    <xf borderId="1" fillId="2" fontId="17" numFmtId="0" xfId="0" applyAlignment="1" applyBorder="1" applyFill="1" applyFont="1">
      <alignment shrinkToFit="0" vertical="center" wrapText="0"/>
    </xf>
    <xf borderId="0" fillId="0" fontId="12" numFmtId="0" xfId="0" applyAlignment="1" applyFont="1">
      <alignment shrinkToFit="0" vertical="center" wrapText="0"/>
    </xf>
    <xf borderId="9" fillId="12" fontId="18" numFmtId="0" xfId="0" applyAlignment="1" applyBorder="1" applyFill="1" applyFont="1">
      <alignment horizontal="left" shrinkToFit="0" vertical="center" wrapText="0"/>
    </xf>
    <xf borderId="0" fillId="0" fontId="19" numFmtId="0" xfId="0" applyAlignment="1" applyFont="1">
      <alignment shrinkToFit="0" vertical="center" wrapText="0"/>
    </xf>
    <xf borderId="9" fillId="12" fontId="20" numFmtId="166" xfId="0" applyAlignment="1" applyBorder="1" applyFill="1" applyFont="1" applyNumberFormat="1">
      <alignment horizontal="center" shrinkToFit="0" vertical="center" wrapText="0"/>
    </xf>
    <xf borderId="0" fillId="0" fontId="21" numFmtId="0" xfId="0" applyAlignment="1" applyFont="1">
      <alignment shrinkToFit="0" vertical="center" wrapText="0"/>
    </xf>
    <xf borderId="9" fillId="0" fontId="9" numFmtId="166" xfId="0" applyAlignment="1" applyBorder="1" applyFont="1" applyNumberFormat="1">
      <alignment horizontal="center" shrinkToFit="0" vertical="center" wrapText="0"/>
    </xf>
    <xf borderId="9" fillId="0" fontId="12" numFmtId="1" xfId="0" applyAlignment="1" applyBorder="1" applyFont="1" applyNumberFormat="1">
      <alignment horizontal="center" shrinkToFit="0" vertical="center" wrapText="0"/>
    </xf>
    <xf borderId="9" fillId="0" fontId="22" numFmtId="0" xfId="0" applyAlignment="1" applyBorder="1" applyFont="1">
      <alignment horizontal="center" shrinkToFit="0" vertical="center" wrapText="0"/>
    </xf>
    <xf borderId="9" fillId="0" fontId="23" numFmtId="0" xfId="0" applyAlignment="1" applyBorder="1" applyFont="1">
      <alignment horizontal="center" shrinkToFit="0" vertical="center" wrapText="0"/>
    </xf>
    <xf borderId="9" fillId="0" fontId="9" numFmtId="0" xfId="0" applyAlignment="1" applyBorder="1" applyFont="1">
      <alignment shrinkToFit="0" vertical="center" wrapText="1"/>
    </xf>
    <xf borderId="9" fillId="0" fontId="20" numFmtId="0" xfId="0" applyAlignment="1" applyBorder="1" applyFont="1">
      <alignment horizontal="center" shrinkToFit="0" vertical="center" wrapText="0"/>
    </xf>
    <xf borderId="9" fillId="0" fontId="9" numFmtId="167" xfId="0" applyAlignment="1" applyBorder="1" applyFont="1" applyNumberFormat="1">
      <alignment horizontal="center" shrinkToFit="0" vertical="center" wrapText="0"/>
    </xf>
    <xf borderId="9" fillId="12" fontId="24" numFmtId="0" xfId="0" applyAlignment="1" applyBorder="1" applyFill="1" applyFont="1">
      <alignment horizontal="center" shrinkToFit="0" vertical="center" wrapText="0"/>
    </xf>
    <xf borderId="9" fillId="0" fontId="12" numFmtId="9" xfId="0" applyAlignment="1" applyBorder="1" applyFont="1" applyNumberFormat="1">
      <alignment horizontal="center" shrinkToFit="0" vertical="center" wrapText="0"/>
    </xf>
    <xf borderId="9" fillId="0" fontId="9" numFmtId="9" xfId="0" applyAlignment="1" applyBorder="1" applyFont="1" applyNumberFormat="1">
      <alignment horizontal="center" shrinkToFit="0" vertical="center" wrapText="0"/>
    </xf>
    <xf borderId="9" fillId="0" fontId="9" numFmtId="168" xfId="0" applyAlignment="1" applyBorder="1" applyFont="1" applyNumberFormat="1">
      <alignment horizontal="center" shrinkToFit="0" vertical="center" wrapText="0"/>
    </xf>
    <xf borderId="9" fillId="0" fontId="25" numFmtId="0" xfId="0" applyAlignment="1" applyBorder="1" applyFont="1">
      <alignment horizontal="center" shrinkToFit="0" vertical="center" wrapText="0"/>
    </xf>
    <xf borderId="9" fillId="12" fontId="26" numFmtId="0" xfId="0" applyAlignment="1" applyBorder="1" applyFill="1" applyFont="1">
      <alignment horizontal="center" shrinkToFit="0" vertical="center" wrapText="0"/>
    </xf>
    <xf borderId="9" fillId="11" fontId="9" numFmtId="0" xfId="0" applyAlignment="1" applyBorder="1" applyFill="1" applyFont="1">
      <alignment shrinkToFit="0" vertical="center" wrapText="0"/>
    </xf>
    <xf borderId="9" fillId="11" fontId="27" numFmtId="164" xfId="0" applyAlignment="1" applyBorder="1" applyFill="1" applyFont="1" applyNumberFormat="1">
      <alignment horizontal="center" shrinkToFit="0" vertical="center" wrapText="0"/>
    </xf>
    <xf borderId="9" fillId="11" fontId="28" numFmtId="164" xfId="0" applyAlignment="1" applyBorder="1" applyFill="1" applyFont="1" applyNumberFormat="1">
      <alignment horizontal="center" shrinkToFit="0" vertical="center" wrapText="0"/>
    </xf>
    <xf borderId="9" fillId="11" fontId="28" numFmtId="165" xfId="0" applyAlignment="1" applyBorder="1" applyFill="1" applyFont="1" applyNumberFormat="1">
      <alignment horizontal="center" shrinkToFit="0" vertical="center" wrapText="0"/>
    </xf>
    <xf borderId="0" fillId="4" fontId="29" numFmtId="0" xfId="0" applyFill="1" applyFont="1"/>
    <xf borderId="0" fillId="0" fontId="29" numFmtId="0" xfId="0" applyFont="1"/>
    <xf borderId="10" fillId="6" fontId="12" numFmtId="0" xfId="0" applyAlignment="1" applyBorder="1" applyFill="1" applyFont="1">
      <alignment horizontal="center" shrinkToFit="0" vertical="center" wrapText="0"/>
    </xf>
    <xf borderId="11" fillId="0" fontId="5" numFmtId="0" xfId="0" applyBorder="1" applyFont="1"/>
    <xf borderId="12" fillId="0" fontId="5" numFmtId="0" xfId="0" applyBorder="1" applyFont="1"/>
    <xf borderId="10" fillId="7" fontId="12" numFmtId="0" xfId="0" applyAlignment="1" applyBorder="1" applyFill="1" applyFont="1">
      <alignment horizontal="center" shrinkToFit="0" vertical="center" wrapText="0"/>
    </xf>
    <xf borderId="10" fillId="8" fontId="12" numFmtId="0" xfId="0" applyAlignment="1" applyBorder="1" applyFill="1" applyFont="1">
      <alignment horizontal="center" shrinkToFit="0" vertical="center" wrapText="0"/>
    </xf>
    <xf borderId="0" fillId="13" fontId="29" numFmtId="0" xfId="0" applyFill="1" applyFont="1"/>
    <xf borderId="9" fillId="2" fontId="11" numFmtId="0" xfId="0" applyAlignment="1" applyBorder="1" applyFill="1" applyFont="1">
      <alignment shrinkToFit="0" vertical="center" wrapText="0"/>
    </xf>
    <xf borderId="9" fillId="2" fontId="11" numFmtId="169" xfId="0" applyAlignment="1" applyBorder="1" applyFill="1" applyFont="1" applyNumberFormat="1">
      <alignment horizontal="center" shrinkToFit="0" vertical="center" wrapText="0"/>
    </xf>
    <xf borderId="9" fillId="2" fontId="9" numFmtId="0" xfId="0" applyAlignment="1" applyBorder="1" applyFill="1" applyFont="1">
      <alignment shrinkToFit="0" vertical="center" wrapText="0"/>
    </xf>
    <xf borderId="9" fillId="2" fontId="30" numFmtId="0" xfId="0" applyAlignment="1" applyBorder="1" applyFill="1" applyFont="1">
      <alignment shrinkToFit="0" vertical="center" wrapText="0"/>
    </xf>
    <xf borderId="9" fillId="2" fontId="31" numFmtId="167" xfId="0" applyAlignment="1" applyBorder="1" applyFill="1" applyFont="1" applyNumberFormat="1">
      <alignment horizontal="center" shrinkToFit="0" vertical="center" wrapText="0"/>
    </xf>
    <xf borderId="9" fillId="0" fontId="9" numFmtId="0" xfId="0" applyAlignment="1" applyBorder="1" applyFont="1">
      <alignment shrinkToFit="0" vertical="center" wrapText="0"/>
    </xf>
    <xf borderId="9" fillId="0" fontId="9" numFmtId="170" xfId="0" applyAlignment="1" applyBorder="1" applyFont="1" applyNumberFormat="1">
      <alignment horizontal="center" shrinkToFit="0" vertical="center" wrapText="0"/>
    </xf>
    <xf borderId="9" fillId="0" fontId="12" numFmtId="169" xfId="0" applyAlignment="1" applyBorder="1" applyFont="1" applyNumberFormat="1">
      <alignment horizontal="center" shrinkToFit="0" vertical="center" wrapText="0"/>
    </xf>
    <xf borderId="9" fillId="12" fontId="18" numFmtId="164" xfId="0" applyAlignment="1" applyBorder="1" applyFill="1" applyFont="1" applyNumberFormat="1">
      <alignment horizontal="center" shrinkToFit="0" vertical="center" wrapText="0"/>
    </xf>
    <xf borderId="9" fillId="0" fontId="9" numFmtId="165" xfId="0" applyAlignment="1" applyBorder="1" applyFont="1" applyNumberFormat="1">
      <alignment horizontal="center" shrinkToFit="0" vertical="center" wrapText="0"/>
    </xf>
    <xf borderId="9" fillId="0" fontId="22" numFmtId="0" xfId="0" applyAlignment="1" applyBorder="1" applyFont="1">
      <alignment horizontal="center" shrinkToFit="0" vertical="top" wrapText="0"/>
    </xf>
    <xf borderId="9" fillId="0" fontId="25" numFmtId="0" xfId="0" applyAlignment="1" applyBorder="1" applyFont="1">
      <alignment horizontal="center" shrinkToFit="0" vertical="top" wrapText="1"/>
    </xf>
    <xf borderId="9" fillId="0" fontId="9" numFmtId="0" xfId="0" applyAlignment="1" applyBorder="1" applyFont="1">
      <alignment horizontal="center" shrinkToFit="0" vertical="top" wrapText="1"/>
    </xf>
    <xf borderId="9" fillId="0" fontId="9" numFmtId="0" xfId="0" applyAlignment="1" applyBorder="1" applyFont="1">
      <alignment shrinkToFit="0" vertical="top" wrapText="1"/>
    </xf>
    <xf borderId="9" fillId="0" fontId="21" numFmtId="0" xfId="0" applyAlignment="1" applyBorder="1" applyFont="1">
      <alignment shrinkToFit="0" vertical="top" wrapText="1"/>
    </xf>
    <xf borderId="9" fillId="0" fontId="25" numFmtId="0" xfId="0" applyAlignment="1" applyBorder="1" applyFont="1">
      <alignment horizontal="center" shrinkToFit="0" vertical="top" wrapText="0"/>
    </xf>
    <xf borderId="9" fillId="0" fontId="20" numFmtId="0" xfId="0" applyAlignment="1" applyBorder="1" applyFont="1">
      <alignment horizontal="center" shrinkToFit="0" vertical="top" wrapText="0"/>
    </xf>
    <xf borderId="9" fillId="0" fontId="21" numFmtId="0" xfId="0" applyAlignment="1" applyBorder="1" applyFont="1">
      <alignment horizontal="center" shrinkToFit="0" vertical="top" wrapText="0"/>
    </xf>
    <xf borderId="9" fillId="12" fontId="26" numFmtId="0" xfId="0" applyAlignment="1" applyBorder="1" applyFill="1" applyFont="1">
      <alignment horizontal="center" shrinkToFit="0" vertical="top" wrapText="0"/>
    </xf>
    <xf borderId="9" fillId="0" fontId="12" numFmtId="9" xfId="0" applyAlignment="1" applyBorder="1" applyFont="1" applyNumberFormat="1">
      <alignment horizontal="center" shrinkToFit="0" vertical="top" wrapText="0"/>
    </xf>
    <xf borderId="9" fillId="0" fontId="13" numFmtId="1" xfId="0" applyAlignment="1" applyBorder="1" applyFont="1" applyNumberFormat="1">
      <alignment horizontal="center" shrinkToFit="0" vertical="center" wrapText="0"/>
    </xf>
    <xf borderId="9" fillId="0" fontId="13" numFmtId="164" xfId="0" applyAlignment="1" applyBorder="1" applyFont="1" applyNumberFormat="1">
      <alignment horizontal="center" shrinkToFit="0" vertical="center" wrapText="0"/>
    </xf>
    <xf borderId="9" fillId="0" fontId="12" numFmtId="0" xfId="0" applyAlignment="1" applyBorder="1" applyFont="1">
      <alignment shrinkToFit="0" vertical="center" wrapText="0"/>
    </xf>
    <xf borderId="9" fillId="12" fontId="18" numFmtId="9" xfId="0" applyAlignment="1" applyBorder="1" applyFill="1" applyFont="1" applyNumberFormat="1">
      <alignment horizontal="center" shrinkToFit="0" vertical="center" wrapText="0"/>
    </xf>
    <xf borderId="9" fillId="0" fontId="8" numFmtId="0" xfId="0" applyAlignment="1" applyBorder="1" applyFont="1">
      <alignment shrinkToFit="0" vertical="center" wrapText="0"/>
    </xf>
    <xf borderId="9" fillId="0" fontId="8" numFmtId="0" xfId="0" applyAlignment="1" applyBorder="1" applyFont="1">
      <alignment horizontal="center" shrinkToFit="0" vertical="center" wrapText="0"/>
    </xf>
  </cellXfs>
  <cellStyles count="1">
    <cellStyle xfId="0" name="Normal" builtinId="0"/>
  </cellStyles>
  <dxfs count="21">
    <dxf>
      <font>
        <b/>
        <sz val="28.0"/>
        <color rgb="FFC2410C"/>
        <name val="Arial"/>
      </font>
      <fill>
        <patternFill patternType="none"/>
      </fill>
      <border/>
    </dxf>
    <dxf>
      <font>
        <b/>
        <sz val="28.0"/>
        <color rgb="FF0E7C7B"/>
        <name val="Arial"/>
      </font>
      <fill>
        <patternFill patternType="none"/>
      </fill>
      <border/>
    </dxf>
    <dxf>
      <font>
        <b/>
        <sz val="9.0"/>
        <color rgb="FF0F2B3A"/>
        <name val="Arial"/>
      </font>
      <fill>
        <patternFill patternType="solid">
          <fgColor rgb="FFD7EFEB"/>
          <bgColor rgb="FFD7EFEB"/>
        </patternFill>
      </fill>
      <border/>
    </dxf>
    <dxf>
      <font>
        <b/>
        <sz val="9.0"/>
        <color rgb="FF0F2B3A"/>
        <name val="Arial"/>
      </font>
      <fill>
        <patternFill patternType="solid">
          <fgColor rgb="FFFBE9C6"/>
          <bgColor rgb="FFFBE9C6"/>
        </patternFill>
      </fill>
      <border/>
    </dxf>
    <dxf>
      <font>
        <b/>
        <sz val="9.0"/>
        <color rgb="FF0F2B3A"/>
        <name val="Arial"/>
      </font>
      <fill>
        <patternFill patternType="solid">
          <fgColor rgb="FFDCE6F2"/>
          <bgColor rgb="FFDCE6F2"/>
        </patternFill>
      </fill>
      <border/>
    </dxf>
    <dxf>
      <font>
        <b/>
        <sz val="9.0"/>
        <color rgb="FF0F2B3A"/>
        <name val="Arial"/>
      </font>
      <fill>
        <patternFill patternType="solid">
          <fgColor rgb="FFE9E0F2"/>
          <bgColor rgb="FFE9E0F2"/>
        </patternFill>
      </fill>
      <border/>
    </dxf>
    <dxf>
      <font>
        <b/>
        <color rgb="FF0A5C5B"/>
        <name val="Arial"/>
      </font>
      <fill>
        <patternFill patternType="solid">
          <fgColor rgb="FFD7EFEB"/>
          <bgColor rgb="FFD7EFEB"/>
        </patternFill>
      </fill>
      <border/>
    </dxf>
    <dxf>
      <font>
        <b/>
        <color rgb="FF7A4A00"/>
        <name val="Arial"/>
      </font>
      <fill>
        <patternFill patternType="solid">
          <fgColor rgb="FFFBE9C6"/>
          <bgColor rgb="FFFBE9C6"/>
        </patternFill>
      </fill>
      <border/>
    </dxf>
    <dxf>
      <font>
        <b/>
        <color rgb="FF1F4E79"/>
        <name val="Arial"/>
      </font>
      <fill>
        <patternFill patternType="solid">
          <fgColor rgb="FFDCE6F2"/>
          <bgColor rgb="FFDCE6F2"/>
        </patternFill>
      </fill>
      <border/>
    </dxf>
    <dxf>
      <font>
        <b/>
        <color rgb="FF33444B"/>
        <name val="Arial"/>
      </font>
      <fill>
        <patternFill patternType="none"/>
      </fill>
      <border/>
    </dxf>
    <dxf>
      <font>
        <b/>
        <color rgb="FF9A3412"/>
        <name val="Arial"/>
      </font>
      <fill>
        <patternFill patternType="solid">
          <fgColor rgb="FFFBE9C6"/>
          <bgColor rgb="FFFBE9C6"/>
        </patternFill>
      </fill>
      <border/>
    </dxf>
    <dxf>
      <font>
        <b/>
        <color rgb="FF9A3412"/>
        <name val="Arial"/>
      </font>
      <fill>
        <patternFill patternType="none"/>
      </fill>
      <border/>
    </dxf>
    <dxf>
      <font/>
      <fill>
        <patternFill patternType="solid">
          <fgColor rgb="FFF7FAF9"/>
          <bgColor rgb="FFF7FAF9"/>
        </patternFill>
      </fill>
      <border/>
    </dxf>
    <dxf>
      <font>
        <color rgb="FF0E7C7B"/>
        <name val="Arial"/>
      </font>
      <fill>
        <patternFill patternType="solid">
          <fgColor rgb="FF0E7C7B"/>
          <bgColor rgb="FF0E7C7B"/>
        </patternFill>
      </fill>
      <border/>
    </dxf>
    <dxf>
      <font>
        <color rgb="FF9FD6D1"/>
        <name val="Arial"/>
      </font>
      <fill>
        <patternFill patternType="solid">
          <fgColor rgb="FF9FD6D1"/>
          <bgColor rgb="FF9FD6D1"/>
        </patternFill>
      </fill>
      <border/>
    </dxf>
    <dxf>
      <font>
        <b/>
        <color rgb="FF0E7C7B"/>
        <name val="Arial"/>
      </font>
      <fill>
        <patternFill patternType="none"/>
      </fill>
      <border/>
    </dxf>
    <dxf>
      <font>
        <b/>
        <sz val="9.0"/>
        <color rgb="FF0A5C5B"/>
        <name val="Arial"/>
      </font>
      <fill>
        <patternFill patternType="solid">
          <fgColor rgb="FFD7EFEB"/>
          <bgColor rgb="FFD7EFEB"/>
        </patternFill>
      </fill>
      <border/>
    </dxf>
    <dxf>
      <font>
        <b/>
        <sz val="9.0"/>
        <color rgb="FF7A4A00"/>
        <name val="Arial"/>
      </font>
      <fill>
        <patternFill patternType="solid">
          <fgColor rgb="FFFBE9C6"/>
          <bgColor rgb="FFFBE9C6"/>
        </patternFill>
      </fill>
      <border/>
    </dxf>
    <dxf>
      <font>
        <b/>
        <sz val="9.0"/>
        <color rgb="FF33444B"/>
        <name val="Arial"/>
      </font>
      <fill>
        <patternFill patternType="solid">
          <fgColor rgb="FFE8ECEB"/>
          <bgColor rgb="FFE8ECEB"/>
        </patternFill>
      </fill>
      <border/>
    </dxf>
    <dxf>
      <font>
        <b/>
        <sz val="9.0"/>
        <color rgb="FF1F4E79"/>
        <name val="Arial"/>
      </font>
      <fill>
        <patternFill patternType="solid">
          <fgColor rgb="FFDCE6F2"/>
          <bgColor rgb="FFDCE6F2"/>
        </patternFill>
      </fill>
      <border/>
    </dxf>
    <dxf>
      <font>
        <b/>
        <sz val="9.0"/>
        <color rgb="FF33444B"/>
        <name val="Arial"/>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0F2B3A"/>
                </a:solidFill>
                <a:latin typeface="Arial"/>
              </a:defRPr>
            </a:pPr>
            <a:r>
              <a:rPr b="1" i="0" sz="1200">
                <a:solidFill>
                  <a:srgbClr val="0F2B3A"/>
                </a:solidFill>
                <a:latin typeface="Arial"/>
              </a:rPr>
              <a:t>Planned vs actual progress by week</a:t>
            </a:r>
          </a:p>
        </c:rich>
      </c:tx>
      <c:overlay val="0"/>
    </c:title>
    <c:plotArea>
      <c:layout/>
      <c:lineChart>
        <c:ser>
          <c:idx val="0"/>
          <c:order val="0"/>
          <c:tx>
            <c:v>Planned</c:v>
          </c:tx>
          <c:spPr>
            <a:ln cmpd="sng" w="19050">
              <a:solidFill>
                <a:srgbClr val="4F6068">
                  <a:alpha val="100000"/>
                </a:srgbClr>
              </a:solidFill>
              <a:prstDash val="dash"/>
            </a:ln>
          </c:spPr>
          <c:marker>
            <c:symbol val="none"/>
          </c:marker>
          <c:cat>
            <c:strRef>
              <c:f>Weekly!$A$5:$A$18</c:f>
            </c:strRef>
          </c:cat>
          <c:val>
            <c:numRef>
              <c:f>Weekly!$C$5:$C$18</c:f>
              <c:numCache/>
            </c:numRef>
          </c:val>
          <c:smooth val="0"/>
        </c:ser>
        <c:ser>
          <c:idx val="1"/>
          <c:order val="1"/>
          <c:tx>
            <c:v>Actual</c:v>
          </c:tx>
          <c:spPr>
            <a:ln cmpd="sng" w="38100">
              <a:solidFill>
                <a:srgbClr val="0E7C7B">
                  <a:alpha val="100000"/>
                </a:srgbClr>
              </a:solidFill>
            </a:ln>
          </c:spPr>
          <c:marker>
            <c:symbol val="circle"/>
            <c:size val="8"/>
            <c:spPr>
              <a:solidFill>
                <a:srgbClr val="0E7C7B">
                  <a:alpha val="100000"/>
                </a:srgbClr>
              </a:solidFill>
              <a:ln cmpd="sng">
                <a:solidFill>
                  <a:srgbClr val="0E7C7B">
                    <a:alpha val="100000"/>
                  </a:srgbClr>
                </a:solidFill>
              </a:ln>
            </c:spPr>
          </c:marker>
          <c:cat>
            <c:strRef>
              <c:f>Weekly!$A$5:$A$18</c:f>
            </c:strRef>
          </c:cat>
          <c:val>
            <c:numRef>
              <c:f>Weekly!$D$5:$D$18</c:f>
              <c:numCache/>
            </c:numRef>
          </c:val>
          <c:smooth val="0"/>
        </c:ser>
        <c:axId val="17235846"/>
        <c:axId val="1432841645"/>
      </c:lineChart>
      <c:catAx>
        <c:axId val="17235846"/>
        <c:scaling>
          <c:orientation val="minMax"/>
        </c:scaling>
        <c:delete val="0"/>
        <c:axPos val="b"/>
        <c:title>
          <c:tx>
            <c:rich>
              <a:bodyPr/>
              <a:lstStyle/>
              <a:p>
                <a:pPr lvl="0">
                  <a:defRPr b="1" i="0" sz="1000">
                    <a:solidFill>
                      <a:srgbClr val="000000"/>
                    </a:solidFill>
                    <a:latin typeface="Calibri"/>
                  </a:defRPr>
                </a:pPr>
                <a:r>
                  <a:rPr b="1" i="0" sz="1000">
                    <a:solidFill>
                      <a:srgbClr val="000000"/>
                    </a:solidFill>
                    <a:latin typeface="Calibri"/>
                  </a:rPr>
                  <a:t>Week</a:t>
                </a:r>
              </a:p>
            </c:rich>
          </c:tx>
          <c:overlay val="0"/>
        </c:title>
        <c:numFmt formatCode="\W0" sourceLinked="0"/>
        <c:majorTickMark val="none"/>
        <c:minorTickMark val="none"/>
        <c:spPr>
          <a:ln>
            <a:noFill/>
          </a:ln>
        </c:spPr>
        <c:txPr>
          <a:bodyPr/>
          <a:lstStyle/>
          <a:p>
            <a:pPr lvl="0">
              <a:defRPr b="0" i="0" sz="900">
                <a:solidFill>
                  <a:srgbClr val="4F6068"/>
                </a:solidFill>
                <a:latin typeface="Arial"/>
              </a:defRPr>
            </a:pPr>
          </a:p>
        </c:txPr>
        <c:crossAx val="1432841645"/>
      </c:catAx>
      <c:valAx>
        <c:axId val="1432841645"/>
        <c:scaling>
          <c:orientation val="minMax"/>
          <c:max val="1.0"/>
          <c:min val="0.0"/>
        </c:scaling>
        <c:delete val="0"/>
        <c:axPos val="l"/>
        <c:majorGridlines>
          <c:spPr>
            <a:ln>
              <a:solidFill>
                <a:srgbClr val="B7B7B7"/>
              </a:solidFill>
            </a:ln>
          </c:spPr>
        </c:majorGridlines>
        <c:title>
          <c:tx>
            <c:rich>
              <a:bodyPr/>
              <a:lstStyle/>
              <a:p>
                <a:pPr lvl="0">
                  <a:defRPr b="1" i="0" sz="1000">
                    <a:solidFill>
                      <a:srgbClr val="000000"/>
                    </a:solidFill>
                    <a:latin typeface="Calibri"/>
                  </a:defRPr>
                </a:pPr>
                <a:r>
                  <a:rPr b="1" i="0" sz="1000">
                    <a:solidFill>
                      <a:srgbClr val="000000"/>
                    </a:solidFill>
                    <a:latin typeface="Calibri"/>
                  </a:rPr>
                  <a:t>Cumulative progress</a:t>
                </a:r>
              </a:p>
            </c:rich>
          </c:tx>
          <c:overlay val="0"/>
        </c:title>
        <c:numFmt formatCode="0%" sourceLinked="0"/>
        <c:majorTickMark val="none"/>
        <c:minorTickMark val="none"/>
        <c:tickLblPos val="nextTo"/>
        <c:spPr>
          <a:ln>
            <a:noFill/>
          </a:ln>
        </c:spPr>
        <c:txPr>
          <a:bodyPr/>
          <a:lstStyle/>
          <a:p>
            <a:pPr lvl="0">
              <a:defRPr b="0" i="0" sz="900">
                <a:solidFill>
                  <a:srgbClr val="4F6068"/>
                </a:solidFill>
                <a:latin typeface="Arial"/>
              </a:defRPr>
            </a:pPr>
          </a:p>
        </c:txPr>
        <c:crossAx val="17235846"/>
        <c:majorUnit val="0.25"/>
      </c:valAx>
    </c:plotArea>
    <c:legend>
      <c:legendPos val="b"/>
      <c:overlay val="0"/>
      <c:txPr>
        <a:bodyPr/>
        <a:lstStyle/>
        <a:p>
          <a:pPr lvl="0">
            <a:defRPr b="0" i="0" sz="900">
              <a:solidFill>
                <a:srgbClr val="0F2B3A"/>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0F2B3A"/>
                </a:solidFill>
                <a:latin typeface="Arial"/>
              </a:defRPr>
            </a:pPr>
            <a:r>
              <a:rPr b="1" i="0" sz="1200">
                <a:solidFill>
                  <a:srgbClr val="0F2B3A"/>
                </a:solidFill>
                <a:latin typeface="Arial"/>
              </a:rPr>
              <a:t>Progress by work stream</a:t>
            </a:r>
          </a:p>
        </c:rich>
      </c:tx>
      <c:overlay val="0"/>
    </c:title>
    <c:plotArea>
      <c:layout/>
      <c:barChart>
        <c:barDir val="col"/>
        <c:ser>
          <c:idx val="0"/>
          <c:order val="0"/>
          <c:tx>
            <c:v>Actual</c:v>
          </c:tx>
          <c:spPr>
            <a:solidFill>
              <a:srgbClr val="0E7C7B"/>
            </a:solidFill>
            <a:ln cmpd="sng">
              <a:noFill/>
            </a:ln>
          </c:spPr>
          <c:invertIfNegative val="0"/>
          <c:dLbls>
            <c:numFmt formatCode="General" sourceLinked="1"/>
            <c:txPr>
              <a:bodyPr/>
              <a:lstStyle/>
              <a:p>
                <a:pPr lvl="0">
                  <a:defRPr b="0" i="0" sz="800">
                    <a:solidFill>
                      <a:srgbClr val="0F2B3A"/>
                    </a:solidFill>
                    <a:latin typeface="Arial"/>
                  </a:defRPr>
                </a:pPr>
              </a:p>
            </c:txPr>
            <c:showLegendKey val="0"/>
            <c:showVal val="1"/>
            <c:showCatName val="0"/>
            <c:showSerName val="0"/>
            <c:showPercent val="0"/>
            <c:showBubbleSize val="0"/>
          </c:dLbls>
          <c:cat>
            <c:strRef>
              <c:f>Dashboard!$A$11:$A$14</c:f>
            </c:strRef>
          </c:cat>
          <c:val>
            <c:numRef>
              <c:f>Dashboard!$C$11:$C$14</c:f>
              <c:numCache/>
            </c:numRef>
          </c:val>
        </c:ser>
        <c:ser>
          <c:idx val="1"/>
          <c:order val="1"/>
          <c:tx>
            <c:v>Planned</c:v>
          </c:tx>
          <c:spPr>
            <a:solidFill>
              <a:srgbClr val="E8A33D"/>
            </a:solidFill>
            <a:ln cmpd="sng">
              <a:noFill/>
            </a:ln>
          </c:spPr>
          <c:invertIfNegative val="0"/>
          <c:dLbls>
            <c:numFmt formatCode="General" sourceLinked="1"/>
            <c:txPr>
              <a:bodyPr/>
              <a:lstStyle/>
              <a:p>
                <a:pPr lvl="0">
                  <a:defRPr b="0" i="0" sz="800">
                    <a:solidFill>
                      <a:srgbClr val="0F2B3A"/>
                    </a:solidFill>
                    <a:latin typeface="Arial"/>
                  </a:defRPr>
                </a:pPr>
              </a:p>
            </c:txPr>
            <c:showLegendKey val="0"/>
            <c:showVal val="1"/>
            <c:showCatName val="0"/>
            <c:showSerName val="0"/>
            <c:showPercent val="0"/>
            <c:showBubbleSize val="0"/>
          </c:dLbls>
          <c:cat>
            <c:strRef>
              <c:f>Dashboard!$A$11:$A$14</c:f>
            </c:strRef>
          </c:cat>
          <c:val>
            <c:numRef>
              <c:f>Dashboard!$D$11:$D$14</c:f>
              <c:numCache/>
            </c:numRef>
          </c:val>
        </c:ser>
        <c:axId val="507379978"/>
        <c:axId val="767305713"/>
      </c:barChart>
      <c:catAx>
        <c:axId val="5073799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800">
                <a:solidFill>
                  <a:srgbClr val="4F6068"/>
                </a:solidFill>
                <a:latin typeface="Arial"/>
              </a:defRPr>
            </a:pPr>
          </a:p>
        </c:txPr>
        <c:crossAx val="767305713"/>
      </c:catAx>
      <c:valAx>
        <c:axId val="767305713"/>
        <c:scaling>
          <c:orientation val="minMax"/>
          <c:max val="1.0"/>
          <c:min val="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0%" sourceLinked="0"/>
        <c:majorTickMark val="none"/>
        <c:minorTickMark val="none"/>
        <c:tickLblPos val="nextTo"/>
        <c:spPr>
          <a:ln>
            <a:noFill/>
          </a:ln>
        </c:spPr>
        <c:txPr>
          <a:bodyPr/>
          <a:lstStyle/>
          <a:p>
            <a:pPr lvl="0">
              <a:defRPr b="0" i="0" sz="900">
                <a:solidFill>
                  <a:srgbClr val="4F6068"/>
                </a:solidFill>
                <a:latin typeface="Arial"/>
              </a:defRPr>
            </a:pPr>
          </a:p>
        </c:txPr>
        <c:crossAx val="507379978"/>
        <c:majorUnit val="0.25"/>
      </c:valAx>
    </c:plotArea>
    <c:legend>
      <c:legendPos val="b"/>
      <c:overlay val="0"/>
      <c:txPr>
        <a:bodyPr/>
        <a:lstStyle/>
        <a:p>
          <a:pPr lvl="0">
            <a:defRPr b="0" i="0" sz="900">
              <a:solidFill>
                <a:srgbClr val="0F2B3A"/>
              </a:solidFill>
              <a:latin typeface="Arial"/>
            </a:defRPr>
          </a:pPr>
        </a:p>
      </c:txPr>
    </c:legend>
    <c:plotVisOnly val="1"/>
  </c:chart>
  <c:spPr>
    <a:solidFill>
      <a:srgbClr val="FFFFFF"/>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0F2B3A"/>
                </a:solidFill>
                <a:latin typeface="Arial"/>
              </a:defRPr>
            </a:pPr>
            <a:r>
              <a:rPr b="1" i="0" sz="1200">
                <a:solidFill>
                  <a:srgbClr val="0F2B3A"/>
                </a:solidFill>
                <a:latin typeface="Arial"/>
              </a:rPr>
              <a:t>Progress by task (actual vs planned this week)</a:t>
            </a:r>
          </a:p>
        </c:rich>
      </c:tx>
      <c:overlay val="0"/>
    </c:title>
    <c:plotArea>
      <c:layout/>
      <c:barChart>
        <c:barDir val="col"/>
        <c:ser>
          <c:idx val="0"/>
          <c:order val="0"/>
          <c:tx>
            <c:v>Actual</c:v>
          </c:tx>
          <c:spPr>
            <a:solidFill>
              <a:srgbClr val="0E7C7B"/>
            </a:solidFill>
            <a:ln cmpd="sng">
              <a:noFill/>
            </a:ln>
          </c:spPr>
          <c:invertIfNegative val="0"/>
          <c:cat>
            <c:strRef>
              <c:f>Tracker!$A$9:$A$31</c:f>
            </c:strRef>
          </c:cat>
          <c:val>
            <c:numRef>
              <c:f>Tracker!$J$9:$J$31</c:f>
              <c:numCache/>
            </c:numRef>
          </c:val>
        </c:ser>
        <c:ser>
          <c:idx val="1"/>
          <c:order val="1"/>
          <c:tx>
            <c:v>Planned</c:v>
          </c:tx>
          <c:spPr>
            <a:solidFill>
              <a:srgbClr val="E8A33D"/>
            </a:solidFill>
            <a:ln cmpd="sng">
              <a:noFill/>
            </a:ln>
          </c:spPr>
          <c:invertIfNegative val="0"/>
          <c:cat>
            <c:strRef>
              <c:f>Tracker!$A$9:$A$31</c:f>
            </c:strRef>
          </c:cat>
          <c:val>
            <c:numRef>
              <c:f>Tracker!$K$9:$K$31</c:f>
              <c:numCache/>
            </c:numRef>
          </c:val>
        </c:ser>
        <c:axId val="1990875837"/>
        <c:axId val="1149177378"/>
      </c:barChart>
      <c:catAx>
        <c:axId val="19908758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800">
                <a:solidFill>
                  <a:srgbClr val="4F6068"/>
                </a:solidFill>
                <a:latin typeface="Arial"/>
              </a:defRPr>
            </a:pPr>
          </a:p>
        </c:txPr>
        <c:crossAx val="1149177378"/>
      </c:catAx>
      <c:valAx>
        <c:axId val="1149177378"/>
        <c:scaling>
          <c:orientation val="minMax"/>
          <c:max val="1.0"/>
          <c:min val="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0%" sourceLinked="0"/>
        <c:majorTickMark val="none"/>
        <c:minorTickMark val="none"/>
        <c:tickLblPos val="nextTo"/>
        <c:spPr>
          <a:ln>
            <a:noFill/>
          </a:ln>
        </c:spPr>
        <c:txPr>
          <a:bodyPr/>
          <a:lstStyle/>
          <a:p>
            <a:pPr lvl="0">
              <a:defRPr b="0" i="0" sz="900">
                <a:solidFill>
                  <a:srgbClr val="4F6068"/>
                </a:solidFill>
                <a:latin typeface="Arial"/>
              </a:defRPr>
            </a:pPr>
          </a:p>
        </c:txPr>
        <c:crossAx val="1990875837"/>
        <c:majorUnit val="0.25"/>
      </c:valAx>
    </c:plotArea>
    <c:legend>
      <c:legendPos val="b"/>
      <c:overlay val="0"/>
      <c:txPr>
        <a:bodyPr/>
        <a:lstStyle/>
        <a:p>
          <a:pPr lvl="0">
            <a:defRPr b="0" i="0" sz="900">
              <a:solidFill>
                <a:srgbClr val="0F2B3A"/>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0F2B3A"/>
                </a:solidFill>
                <a:latin typeface="Arial"/>
              </a:defRPr>
            </a:pPr>
            <a:r>
              <a:rPr b="1" i="0" sz="1200">
                <a:solidFill>
                  <a:srgbClr val="0F2B3A"/>
                </a:solidFill>
                <a:latin typeface="Arial"/>
              </a:rPr>
              <a:t>Task status</a:t>
            </a:r>
          </a:p>
        </c:rich>
      </c:tx>
      <c:overlay val="0"/>
    </c:title>
    <c:plotArea>
      <c:layout/>
      <c:doughnutChart>
        <c:varyColors val="1"/>
        <c:ser>
          <c:idx val="0"/>
          <c:order val="0"/>
          <c:dPt>
            <c:idx val="0"/>
            <c:spPr>
              <a:solidFill>
                <a:srgbClr val="0E7C7B"/>
              </a:solidFill>
            </c:spPr>
          </c:dPt>
          <c:dPt>
            <c:idx val="1"/>
            <c:spPr>
              <a:solidFill>
                <a:srgbClr val="E8A33D"/>
              </a:solidFill>
            </c:spPr>
          </c:dPt>
          <c:dPt>
            <c:idx val="2"/>
            <c:spPr>
              <a:solidFill>
                <a:srgbClr val="5B8DB8"/>
              </a:solidFill>
            </c:spPr>
          </c:dPt>
          <c:dPt>
            <c:idx val="3"/>
            <c:spPr>
              <a:solidFill>
                <a:srgbClr val="9AA9AE"/>
              </a:solidFill>
            </c:spPr>
          </c:dPt>
          <c:dLbls>
            <c:dLbl>
              <c:idx val="0"/>
              <c:txPr>
                <a:bodyPr/>
                <a:lstStyle/>
                <a:p>
                  <a:pPr lvl="0">
                    <a:defRPr b="1" i="0" sz="1000">
                      <a:solidFill>
                        <a:srgbClr val="FFFFFF"/>
                      </a:solidFill>
                      <a:latin typeface="Arial"/>
                    </a:defRPr>
                  </a:pPr>
                </a:p>
              </c:txPr>
              <c:showLegendKey val="0"/>
              <c:showVal val="1"/>
              <c:showCatName val="0"/>
              <c:showSerName val="0"/>
              <c:showPercent val="0"/>
              <c:showBubbleSize val="0"/>
            </c:dLbl>
            <c:dLbl>
              <c:idx val="1"/>
              <c:txPr>
                <a:bodyPr/>
                <a:lstStyle/>
                <a:p>
                  <a:pPr lvl="0">
                    <a:defRPr b="1" i="0" sz="1000">
                      <a:solidFill>
                        <a:srgbClr val="FFFFFF"/>
                      </a:solidFill>
                      <a:latin typeface="Arial"/>
                    </a:defRPr>
                  </a:pPr>
                </a:p>
              </c:txPr>
              <c:showLegendKey val="0"/>
              <c:showVal val="1"/>
              <c:showCatName val="0"/>
              <c:showSerName val="0"/>
              <c:showPercent val="0"/>
              <c:showBubbleSize val="0"/>
            </c:dLbl>
            <c:dLbl>
              <c:idx val="2"/>
              <c:txPr>
                <a:bodyPr/>
                <a:lstStyle/>
                <a:p>
                  <a:pPr lvl="0">
                    <a:defRPr b="1" i="0" sz="1000">
                      <a:solidFill>
                        <a:srgbClr val="FFFFFF"/>
                      </a:solidFill>
                      <a:latin typeface="Arial"/>
                    </a:defRPr>
                  </a:pPr>
                </a:p>
              </c:txPr>
              <c:showLegendKey val="0"/>
              <c:showVal val="1"/>
              <c:showCatName val="0"/>
              <c:showSerName val="0"/>
              <c:showPercent val="0"/>
              <c:showBubbleSize val="0"/>
            </c:dLbl>
            <c:dLbl>
              <c:idx val="3"/>
              <c:txPr>
                <a:bodyPr/>
                <a:lstStyle/>
                <a:p>
                  <a:pPr lvl="0">
                    <a:defRPr b="1" i="0" sz="1000">
                      <a:solidFill>
                        <a:srgbClr val="FFFFFF"/>
                      </a:solidFill>
                      <a:latin typeface="Arial"/>
                    </a:defRPr>
                  </a:pPr>
                </a:p>
              </c:txPr>
              <c:showLegendKey val="0"/>
              <c:showVal val="1"/>
              <c:showCatName val="0"/>
              <c:showSerName val="0"/>
              <c:showPercent val="0"/>
              <c:showBubbleSize val="0"/>
            </c:dLbl>
            <c:showLegendKey val="0"/>
            <c:showVal val="1"/>
            <c:showCatName val="0"/>
            <c:showSerName val="0"/>
            <c:showPercent val="0"/>
            <c:showBubbleSize val="0"/>
            <c:showLeaderLines val="1"/>
          </c:dLbls>
          <c:cat>
            <c:strRef>
              <c:f>Dashboard!$F$11:$F$14</c:f>
            </c:strRef>
          </c:cat>
          <c:val>
            <c:numRef>
              <c:f>Dashboard!$G$11:$G$14</c:f>
              <c:numCache/>
            </c:numRef>
          </c:val>
        </c:ser>
        <c:dLbls>
          <c:showLegendKey val="0"/>
          <c:showVal val="0"/>
          <c:showCatName val="0"/>
          <c:showSerName val="0"/>
          <c:showPercent val="0"/>
          <c:showBubbleSize val="0"/>
        </c:dLbls>
        <c:holeSize val="50"/>
      </c:doughnutChart>
    </c:plotArea>
    <c:legend>
      <c:legendPos val="b"/>
      <c:overlay val="0"/>
      <c:txPr>
        <a:bodyPr/>
        <a:lstStyle/>
        <a:p>
          <a:pPr lvl="0">
            <a:defRPr b="0" i="0" sz="900">
              <a:solidFill>
                <a:srgbClr val="0F2B3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0F2B3A"/>
                </a:solidFill>
                <a:latin typeface="Arial"/>
              </a:defRPr>
            </a:pPr>
            <a:r>
              <a:rPr b="1" i="0" sz="1200">
                <a:solidFill>
                  <a:srgbClr val="0F2B3A"/>
                </a:solidFill>
                <a:latin typeface="Arial"/>
              </a:rPr>
              <a:t>Stories by priority</a:t>
            </a:r>
          </a:p>
        </c:rich>
      </c:tx>
      <c:overlay val="0"/>
    </c:title>
    <c:plotArea>
      <c:layout/>
      <c:doughnutChart>
        <c:varyColors val="1"/>
        <c:ser>
          <c:idx val="0"/>
          <c:order val="0"/>
          <c:dPt>
            <c:idx val="0"/>
            <c:spPr>
              <a:solidFill>
                <a:srgbClr val="0E7C7B"/>
              </a:solidFill>
            </c:spPr>
          </c:dPt>
          <c:dPt>
            <c:idx val="1"/>
            <c:spPr>
              <a:solidFill>
                <a:srgbClr val="E8A33D"/>
              </a:solidFill>
            </c:spPr>
          </c:dPt>
          <c:dPt>
            <c:idx val="2"/>
            <c:spPr>
              <a:solidFill>
                <a:srgbClr val="9AA9AE"/>
              </a:solidFill>
            </c:spPr>
          </c:dPt>
          <c:dLbls>
            <c:dLbl>
              <c:idx val="0"/>
              <c:txPr>
                <a:bodyPr/>
                <a:lstStyle/>
                <a:p>
                  <a:pPr lvl="0">
                    <a:defRPr b="1" i="0" sz="1000">
                      <a:solidFill>
                        <a:srgbClr val="FFFFFF"/>
                      </a:solidFill>
                      <a:latin typeface="Arial"/>
                    </a:defRPr>
                  </a:pPr>
                </a:p>
              </c:txPr>
              <c:showLegendKey val="0"/>
              <c:showVal val="1"/>
              <c:showCatName val="0"/>
              <c:showSerName val="0"/>
              <c:showPercent val="0"/>
              <c:showBubbleSize val="0"/>
            </c:dLbl>
            <c:dLbl>
              <c:idx val="1"/>
              <c:txPr>
                <a:bodyPr/>
                <a:lstStyle/>
                <a:p>
                  <a:pPr lvl="0">
                    <a:defRPr b="1" i="0" sz="1000">
                      <a:solidFill>
                        <a:srgbClr val="FFFFFF"/>
                      </a:solidFill>
                      <a:latin typeface="Arial"/>
                    </a:defRPr>
                  </a:pPr>
                </a:p>
              </c:txPr>
              <c:showLegendKey val="0"/>
              <c:showVal val="1"/>
              <c:showCatName val="0"/>
              <c:showSerName val="0"/>
              <c:showPercent val="0"/>
              <c:showBubbleSize val="0"/>
            </c:dLbl>
            <c:dLbl>
              <c:idx val="2"/>
              <c:txPr>
                <a:bodyPr/>
                <a:lstStyle/>
                <a:p>
                  <a:pPr lvl="0">
                    <a:defRPr b="1" i="0" sz="1000">
                      <a:solidFill>
                        <a:srgbClr val="FFFFFF"/>
                      </a:solidFill>
                      <a:latin typeface="Arial"/>
                    </a:defRPr>
                  </a:pPr>
                </a:p>
              </c:txPr>
              <c:showLegendKey val="0"/>
              <c:showVal val="1"/>
              <c:showCatName val="0"/>
              <c:showSerName val="0"/>
              <c:showPercent val="0"/>
              <c:showBubbleSize val="0"/>
            </c:dLbl>
            <c:showLegendKey val="0"/>
            <c:showVal val="1"/>
            <c:showCatName val="0"/>
            <c:showSerName val="0"/>
            <c:showPercent val="0"/>
            <c:showBubbleSize val="0"/>
            <c:showLeaderLines val="1"/>
          </c:dLbls>
          <c:cat>
            <c:strRef>
              <c:f>'Story Summary'!$A$6:$A$8</c:f>
            </c:strRef>
          </c:cat>
          <c:val>
            <c:numRef>
              <c:f>'Story Summary'!$B$6:$B$8</c:f>
              <c:numCache/>
            </c:numRef>
          </c:val>
        </c:ser>
        <c:dLbls>
          <c:showLegendKey val="0"/>
          <c:showVal val="0"/>
          <c:showCatName val="0"/>
          <c:showSerName val="0"/>
          <c:showPercent val="0"/>
          <c:showBubbleSize val="0"/>
        </c:dLbls>
        <c:holeSize val="50"/>
      </c:doughnutChart>
    </c:plotArea>
    <c:legend>
      <c:legendPos val="b"/>
      <c:overlay val="0"/>
      <c:txPr>
        <a:bodyPr/>
        <a:lstStyle/>
        <a:p>
          <a:pPr lvl="0">
            <a:defRPr b="0" i="0" sz="900">
              <a:solidFill>
                <a:srgbClr val="0F2B3A"/>
              </a:solidFill>
              <a:latin typeface="Arial"/>
            </a:defRPr>
          </a:pPr>
        </a:p>
      </c:txPr>
    </c:legend>
    <c:plotVisOnly val="1"/>
  </c:chart>
  <c:spPr>
    <a:solidFill>
      <a:srgbClr val="FFFFFF"/>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0F2B3A"/>
                </a:solidFill>
                <a:latin typeface="Arial"/>
              </a:defRPr>
            </a:pPr>
            <a:r>
              <a:rPr b="1" i="0" sz="1200">
                <a:solidFill>
                  <a:srgbClr val="0F2B3A"/>
                </a:solidFill>
                <a:latin typeface="Arial"/>
              </a:rPr>
              <a:t>User stories by module</a:t>
            </a:r>
          </a:p>
        </c:rich>
      </c:tx>
      <c:overlay val="0"/>
    </c:title>
    <c:plotArea>
      <c:layout/>
      <c:barChart>
        <c:barDir val="bar"/>
        <c:varyColors val="0"/>
        <c:ser>
          <c:idx val="0"/>
          <c:order val="0"/>
          <c:tx>
            <c:v>Stories</c:v>
          </c:tx>
          <c:spPr>
            <a:solidFill>
              <a:srgbClr val="0E7C7B"/>
            </a:solidFill>
            <a:ln cmpd="sng">
              <a:noFill/>
            </a:ln>
          </c:spPr>
          <c:invertIfNegative val="0"/>
          <c:dLbls>
            <c:numFmt formatCode="General" sourceLinked="1"/>
            <c:txPr>
              <a:bodyPr/>
              <a:lstStyle/>
              <a:p>
                <a:pPr lvl="0">
                  <a:defRPr b="0" i="0" sz="800">
                    <a:solidFill>
                      <a:srgbClr val="0F2B3A"/>
                    </a:solidFill>
                    <a:latin typeface="Arial"/>
                  </a:defRPr>
                </a:pPr>
              </a:p>
            </c:txPr>
            <c:showLegendKey val="0"/>
            <c:showVal val="1"/>
            <c:showCatName val="0"/>
            <c:showSerName val="0"/>
            <c:showPercent val="0"/>
            <c:showBubbleSize val="0"/>
          </c:dLbls>
          <c:cat>
            <c:strRef>
              <c:f>'Story Summary'!$A$15:$A$26</c:f>
            </c:strRef>
          </c:cat>
          <c:val>
            <c:numRef>
              <c:f>'Story Summary'!$B$15:$B$26</c:f>
              <c:numCache/>
            </c:numRef>
          </c:val>
        </c:ser>
        <c:axId val="1538802611"/>
        <c:axId val="1466479756"/>
      </c:barChart>
      <c:catAx>
        <c:axId val="153880261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800">
                <a:solidFill>
                  <a:srgbClr val="4F6068"/>
                </a:solidFill>
                <a:latin typeface="Arial"/>
              </a:defRPr>
            </a:pPr>
          </a:p>
        </c:txPr>
        <c:crossAx val="1466479756"/>
      </c:catAx>
      <c:valAx>
        <c:axId val="1466479756"/>
        <c:scaling>
          <c:orientation val="minMax"/>
          <c:min val="0.0"/>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800">
                <a:solidFill>
                  <a:srgbClr val="4F6068"/>
                </a:solidFill>
                <a:latin typeface="Arial"/>
              </a:defRPr>
            </a:pPr>
          </a:p>
        </c:txPr>
        <c:crossAx val="1538802611"/>
        <c:crosses val="max"/>
      </c:valAx>
    </c:plotArea>
    <c:plotVisOnly val="1"/>
  </c:chart>
  <c:spPr>
    <a:solidFill>
      <a:srgbClr val="FFFFFF"/>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0F2B3A"/>
                </a:solidFill>
                <a:latin typeface="Arial"/>
              </a:defRPr>
            </a:pPr>
            <a:r>
              <a:rPr b="1" i="0" sz="1200">
                <a:solidFill>
                  <a:srgbClr val="0F2B3A"/>
                </a:solidFill>
                <a:latin typeface="Arial"/>
              </a:rPr>
              <a:t>Average story progress by module</a:t>
            </a:r>
          </a:p>
        </c:rich>
      </c:tx>
      <c:overlay val="0"/>
    </c:title>
    <c:plotArea>
      <c:layout/>
      <c:barChart>
        <c:barDir val="bar"/>
        <c:varyColors val="0"/>
        <c:ser>
          <c:idx val="0"/>
          <c:order val="0"/>
          <c:tx>
            <c:v>Progress</c:v>
          </c:tx>
          <c:spPr>
            <a:solidFill>
              <a:srgbClr val="E8A33D"/>
            </a:solidFill>
            <a:ln cmpd="sng">
              <a:noFill/>
            </a:ln>
          </c:spPr>
          <c:invertIfNegative val="0"/>
          <c:dLbls>
            <c:numFmt formatCode="General" sourceLinked="1"/>
            <c:txPr>
              <a:bodyPr/>
              <a:lstStyle/>
              <a:p>
                <a:pPr lvl="0">
                  <a:defRPr b="0" i="0" sz="800">
                    <a:solidFill>
                      <a:srgbClr val="0F2B3A"/>
                    </a:solidFill>
                    <a:latin typeface="Arial"/>
                  </a:defRPr>
                </a:pPr>
              </a:p>
            </c:txPr>
            <c:showLegendKey val="0"/>
            <c:showVal val="1"/>
            <c:showCatName val="0"/>
            <c:showSerName val="0"/>
            <c:showPercent val="0"/>
            <c:showBubbleSize val="0"/>
          </c:dLbls>
          <c:cat>
            <c:strRef>
              <c:f>'Story Summary'!$A$15:$A$26</c:f>
            </c:strRef>
          </c:cat>
          <c:val>
            <c:numRef>
              <c:f>'Story Summary'!$C$15:$C$26</c:f>
              <c:numCache/>
            </c:numRef>
          </c:val>
        </c:ser>
        <c:axId val="349711168"/>
        <c:axId val="950455715"/>
      </c:barChart>
      <c:catAx>
        <c:axId val="34971116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800">
                <a:solidFill>
                  <a:srgbClr val="4F6068"/>
                </a:solidFill>
                <a:latin typeface="Arial"/>
              </a:defRPr>
            </a:pPr>
          </a:p>
        </c:txPr>
        <c:crossAx val="950455715"/>
      </c:catAx>
      <c:valAx>
        <c:axId val="950455715"/>
        <c:scaling>
          <c:orientation val="minMax"/>
          <c:max val="1.0"/>
          <c:min val="0.0"/>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0%" sourceLinked="0"/>
        <c:majorTickMark val="none"/>
        <c:minorTickMark val="none"/>
        <c:tickLblPos val="nextTo"/>
        <c:spPr>
          <a:ln>
            <a:noFill/>
          </a:ln>
        </c:spPr>
        <c:txPr>
          <a:bodyPr/>
          <a:lstStyle/>
          <a:p>
            <a:pPr lvl="0">
              <a:defRPr b="0" i="0" sz="800">
                <a:solidFill>
                  <a:srgbClr val="4F6068"/>
                </a:solidFill>
                <a:latin typeface="Arial"/>
              </a:defRPr>
            </a:pPr>
          </a:p>
        </c:txPr>
        <c:crossAx val="349711168"/>
        <c:crosses val="max"/>
        <c:majorUnit val="0.25"/>
      </c:valAx>
    </c:plotArea>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17</xdr:row>
      <xdr:rowOff>0</xdr:rowOff>
    </xdr:from>
    <xdr:ext cx="5133975" cy="358140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0</xdr:colOff>
      <xdr:row>17</xdr:row>
      <xdr:rowOff>0</xdr:rowOff>
    </xdr:from>
    <xdr:ext cx="5133975" cy="3581400"/>
    <xdr:graphicFrame>
      <xdr:nvGraphicFramePr>
        <xdr:cNvPr id="2" name="Chart 2"/>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0</xdr:colOff>
      <xdr:row>36</xdr:row>
      <xdr:rowOff>0</xdr:rowOff>
    </xdr:from>
    <xdr:ext cx="6400800" cy="3781425"/>
    <xdr:graphicFrame>
      <xdr:nvGraphicFramePr>
        <xdr:cNvPr id="3" name="Chart 3"/>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5</xdr:col>
      <xdr:colOff>0</xdr:colOff>
      <xdr:row>36</xdr:row>
      <xdr:rowOff>0</xdr:rowOff>
    </xdr:from>
    <xdr:ext cx="3867150" cy="3781425"/>
    <xdr:graphicFrame>
      <xdr:nvGraphicFramePr>
        <xdr:cNvPr id="4" name="Chart 4"/>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0</xdr:colOff>
      <xdr:row>3</xdr:row>
      <xdr:rowOff>0</xdr:rowOff>
    </xdr:from>
    <xdr:ext cx="3705225" cy="3790950"/>
    <xdr:graphicFrame>
      <xdr:nvGraphicFramePr>
        <xdr:cNvPr id="5" name="Chart 5"/>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0</xdr:colOff>
      <xdr:row>3</xdr:row>
      <xdr:rowOff>0</xdr:rowOff>
    </xdr:from>
    <xdr:ext cx="5905500" cy="3790950"/>
    <xdr:graphicFrame>
      <xdr:nvGraphicFramePr>
        <xdr:cNvPr id="6" name="Chart 6"/>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0</xdr:colOff>
      <xdr:row>23</xdr:row>
      <xdr:rowOff>0</xdr:rowOff>
    </xdr:from>
    <xdr:ext cx="9572625" cy="3981450"/>
    <xdr:graphicFrame>
      <xdr:nvGraphicFramePr>
        <xdr:cNvPr id="7" name="Chart 7"/>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E7C7B"/>
    <pageSetUpPr fitToPage="1"/>
  </sheetPr>
  <sheetViews>
    <sheetView showGridLines="0" workbookViewId="0"/>
  </sheetViews>
  <sheetFormatPr customHeight="1" defaultColWidth="14.43" defaultRowHeight="15.0"/>
  <cols>
    <col customWidth="1" min="1" max="1" width="25.0"/>
    <col customWidth="1" min="2" max="2" width="13.0"/>
    <col customWidth="1" min="3" max="8" width="19.0"/>
  </cols>
  <sheetData>
    <row r="1" ht="45.75" customHeight="1">
      <c r="A1" s="1" t="s">
        <v>0</v>
      </c>
      <c r="B1" s="2"/>
      <c r="C1" s="2"/>
      <c r="D1" s="2"/>
      <c r="E1" s="2"/>
      <c r="F1" s="2"/>
      <c r="G1" s="2"/>
      <c r="H1" s="2"/>
    </row>
    <row r="2" ht="25.5" customHeight="1">
      <c r="A2" s="3" t="str">
        <f>"Project Owner: "&amp;Tracker!C3&amp;"   |   "&amp;TEXT(Tracker!C4,"mmm d, yyyy")&amp;" to "&amp;TEXT(Tracker!C4+11*7-1,"mmm d, yyyy")&amp;"   |   11 weeks, "&amp;COUNTA(Tracker!A9:A31)&amp;" tasks"</f>
        <v>Project Owner: Thea Consignado   |   Sep 15, 2026 to Nov 30, 2026   |   11 weeks, 23 tasks</v>
      </c>
      <c r="B2" s="2"/>
      <c r="C2" s="2"/>
      <c r="D2" s="2"/>
      <c r="E2" s="2"/>
      <c r="F2" s="2"/>
      <c r="G2" s="2"/>
      <c r="H2" s="2"/>
    </row>
    <row r="3" ht="9.75" customHeight="1"/>
    <row r="4" ht="24.0" customHeight="1">
      <c r="A4" s="4" t="s">
        <v>1</v>
      </c>
      <c r="B4" s="5"/>
      <c r="C4" s="4" t="s">
        <v>2</v>
      </c>
      <c r="D4" s="5"/>
      <c r="E4" s="4" t="s">
        <v>3</v>
      </c>
      <c r="F4" s="5"/>
      <c r="G4" s="4" t="s">
        <v>4</v>
      </c>
      <c r="H4" s="5"/>
    </row>
    <row r="5" ht="48.0" customHeight="1">
      <c r="A5" s="6">
        <f>Tracker!J32</f>
        <v>0.4554973822</v>
      </c>
      <c r="B5" s="7"/>
      <c r="C5" s="8">
        <f>Tracker!K32</f>
        <v>0.387434555</v>
      </c>
      <c r="D5" s="7"/>
      <c r="E5" s="9">
        <f>Tracker!L32</f>
        <v>6.806282723</v>
      </c>
      <c r="F5" s="7"/>
      <c r="G5" s="10" t="str">
        <f>COUNTIF(Tracker!I9:I31,"Done")&amp;" / "&amp;COUNTA(Tracker!A9:A31)</f>
        <v>1 / 23</v>
      </c>
      <c r="H5" s="7"/>
    </row>
    <row r="6" ht="24.0" customHeight="1">
      <c r="A6" s="11" t="str">
        <f>"Weighted by effort days"</f>
        <v>Weighted by effort days</v>
      </c>
      <c r="B6" s="7"/>
      <c r="C6" s="11" t="str">
        <f>IF(Tracker!C6=0,"Project has not started","Week "&amp;Tracker!C6&amp;" of 11")</f>
        <v>Week 4 of 11</v>
      </c>
      <c r="D6" s="7"/>
      <c r="E6" s="11" t="str">
        <f>IF(ABS(Tracker!L32)&lt;=2,"On plan",IF(Tracker!L32&gt;0,"Ahead of plan","Behind plan"))</f>
        <v>Ahead of plan</v>
      </c>
      <c r="F6" s="7"/>
      <c r="G6" s="11" t="str">
        <f>IF(Tracker!C6=0,"11 weeks to go",IF(11-Tracker!C6=0,"Final week",11-Tracker!C6&amp;" weeks left"))</f>
        <v>7 weeks left</v>
      </c>
      <c r="H6" s="7"/>
    </row>
    <row r="7" ht="6.0" customHeight="1">
      <c r="A7" s="12"/>
      <c r="B7" s="13"/>
      <c r="C7" s="14"/>
      <c r="D7" s="13"/>
      <c r="E7" s="15"/>
      <c r="F7" s="13"/>
      <c r="G7" s="12"/>
      <c r="H7" s="13"/>
    </row>
    <row r="8" ht="13.5" customHeight="1"/>
    <row r="9" ht="24.0" customHeight="1">
      <c r="A9" s="16" t="s">
        <v>5</v>
      </c>
      <c r="B9" s="17"/>
      <c r="C9" s="17"/>
      <c r="D9" s="17"/>
      <c r="F9" s="16" t="s">
        <v>6</v>
      </c>
      <c r="G9" s="17"/>
    </row>
    <row r="10">
      <c r="A10" s="18" t="s">
        <v>7</v>
      </c>
      <c r="B10" s="18" t="s">
        <v>8</v>
      </c>
      <c r="C10" s="18" t="s">
        <v>9</v>
      </c>
      <c r="D10" s="18" t="s">
        <v>10</v>
      </c>
      <c r="F10" s="19" t="s">
        <v>11</v>
      </c>
      <c r="G10" s="19" t="s">
        <v>12</v>
      </c>
    </row>
    <row r="11" ht="21.75" customHeight="1">
      <c r="A11" s="20" t="s">
        <v>13</v>
      </c>
      <c r="B11" s="21">
        <f>SUMIFS(Tracker!$F$9:$F$31,Tracker!$B$9:$B$31,A11)</f>
        <v>37</v>
      </c>
      <c r="C11" s="22">
        <f>SUMPRODUCT((Tracker!$B$9:$B$31=A11)*Tracker!$F$9:$F$31*Tracker!$J$9:$J$31)/B11</f>
        <v>0.5675675676</v>
      </c>
      <c r="D11" s="22">
        <f>SUMPRODUCT((Tracker!$B$9:$B$31=A11)*Tracker!$F$9:$F$31*Tracker!$K$9:$K$31)/B11</f>
        <v>1</v>
      </c>
      <c r="F11" s="20" t="s">
        <v>14</v>
      </c>
      <c r="G11" s="21">
        <f>COUNTIF(Tracker!$I$9:$I$31,F11)</f>
        <v>1</v>
      </c>
    </row>
    <row r="12" ht="21.75" customHeight="1">
      <c r="A12" s="23" t="s">
        <v>15</v>
      </c>
      <c r="B12" s="21">
        <f>SUMIFS(Tracker!$F$9:$F$31,Tracker!$B$9:$B$31,A12)</f>
        <v>50</v>
      </c>
      <c r="C12" s="22">
        <f>SUMPRODUCT((Tracker!$B$9:$B$31=A12)*Tracker!$F$9:$F$31*Tracker!$J$9:$J$31)/B12</f>
        <v>0.5</v>
      </c>
      <c r="D12" s="22">
        <f>SUMPRODUCT((Tracker!$B$9:$B$31=A12)*Tracker!$F$9:$F$31*Tracker!$K$9:$K$31)/B12</f>
        <v>0.74</v>
      </c>
      <c r="F12" s="23" t="s">
        <v>16</v>
      </c>
      <c r="G12" s="21">
        <f>COUNTIF(Tracker!$I$9:$I$31,F12)</f>
        <v>20</v>
      </c>
    </row>
    <row r="13" ht="21.75" customHeight="1">
      <c r="A13" s="24" t="s">
        <v>17</v>
      </c>
      <c r="B13" s="21">
        <f>SUMIFS(Tracker!$F$9:$F$31,Tracker!$B$9:$B$31,A13)</f>
        <v>56</v>
      </c>
      <c r="C13" s="22">
        <f>SUMPRODUCT((Tracker!$B$9:$B$31=A13)*Tracker!$F$9:$F$31*Tracker!$J$9:$J$31)/B13</f>
        <v>0.5</v>
      </c>
      <c r="D13" s="22">
        <f>SUMPRODUCT((Tracker!$B$9:$B$31=A13)*Tracker!$F$9:$F$31*Tracker!$K$9:$K$31)/B13</f>
        <v>0</v>
      </c>
      <c r="F13" s="24" t="s">
        <v>18</v>
      </c>
      <c r="G13" s="21">
        <f>COUNTIF(Tracker!$I$9:$I$31,F13)</f>
        <v>0</v>
      </c>
    </row>
    <row r="14" ht="21.75" customHeight="1">
      <c r="A14" s="25" t="s">
        <v>19</v>
      </c>
      <c r="B14" s="21">
        <f>SUMIFS(Tracker!$F$9:$F$31,Tracker!$B$9:$B$31,A14)</f>
        <v>48</v>
      </c>
      <c r="C14" s="22">
        <f>SUMPRODUCT((Tracker!$B$9:$B$31=A14)*Tracker!$F$9:$F$31*Tracker!$J$9:$J$31)/B14</f>
        <v>0.2708333333</v>
      </c>
      <c r="D14" s="22">
        <f>SUMPRODUCT((Tracker!$B$9:$B$31=A14)*Tracker!$F$9:$F$31*Tracker!$K$9:$K$31)/B14</f>
        <v>0</v>
      </c>
      <c r="F14" s="26" t="s">
        <v>20</v>
      </c>
      <c r="G14" s="21">
        <f>COUNTIF(Tracker!$I$9:$I$31,F14)</f>
        <v>2</v>
      </c>
    </row>
    <row r="15" ht="24.0" customHeight="1">
      <c r="A15" s="27" t="s">
        <v>21</v>
      </c>
      <c r="B15" s="28">
        <f>SUM(B11:B14)</f>
        <v>191</v>
      </c>
      <c r="C15" s="29">
        <f>Tracker!J32</f>
        <v>0.4554973822</v>
      </c>
      <c r="D15" s="30">
        <f>Tracker!K32</f>
        <v>0.387434555</v>
      </c>
      <c r="F15" s="31" t="s">
        <v>22</v>
      </c>
      <c r="G15" s="32">
        <f>COUNTIF(Tracker!$M$9:$M$31,"Behind plan")</f>
        <v>8</v>
      </c>
    </row>
    <row r="16" ht="24.0" customHeight="1">
      <c r="F16" s="27" t="s">
        <v>23</v>
      </c>
      <c r="G16" s="28">
        <f>SUM(G11:G14)</f>
        <v>23</v>
      </c>
    </row>
    <row r="17" ht="12.0"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c r="A58" s="33" t="s">
        <v>24</v>
      </c>
    </row>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A4:B4"/>
    <mergeCell ref="C4:D4"/>
    <mergeCell ref="E4:F4"/>
    <mergeCell ref="G4:H4"/>
    <mergeCell ref="C5:D5"/>
    <mergeCell ref="E5:F5"/>
    <mergeCell ref="G5:H5"/>
    <mergeCell ref="E7:F7"/>
    <mergeCell ref="G7:H7"/>
    <mergeCell ref="A5:B5"/>
    <mergeCell ref="A6:B6"/>
    <mergeCell ref="C6:D6"/>
    <mergeCell ref="E6:F6"/>
    <mergeCell ref="G6:H6"/>
    <mergeCell ref="A7:B7"/>
    <mergeCell ref="C7:D7"/>
  </mergeCells>
  <conditionalFormatting sqref="E5">
    <cfRule type="cellIs" dxfId="0" priority="1" operator="lessThanOrEqual">
      <formula>-2</formula>
    </cfRule>
  </conditionalFormatting>
  <conditionalFormatting sqref="E5">
    <cfRule type="cellIs" dxfId="1" priority="2" operator="greaterThanOrEqual">
      <formula>2</formula>
    </cfRule>
  </conditionalFormatting>
  <printOptions/>
  <pageMargins bottom="1.0" footer="0.0" header="0.0" left="0.75" right="0.75" top="1.0"/>
  <pageSetup orientation="landscape"/>
  <headerFooter>
    <oddFooter>&amp;L Project Owner: Louren Isobel Rubico&amp;R Page &amp;P of </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8A33D"/>
    <pageSetUpPr fitToPage="1"/>
  </sheetPr>
  <sheetViews>
    <sheetView showGridLines="0" workbookViewId="0">
      <pane xSplit="3.0" ySplit="8.0" topLeftCell="D9" activePane="bottomRight" state="frozen"/>
      <selection activeCell="D1" sqref="D1" pane="topRight"/>
      <selection activeCell="A9" sqref="A9" pane="bottomLeft"/>
      <selection activeCell="D9" sqref="D9" pane="bottomRight"/>
    </sheetView>
  </sheetViews>
  <sheetFormatPr customHeight="1" defaultColWidth="14.43" defaultRowHeight="15.0"/>
  <cols>
    <col customWidth="1" min="1" max="1" width="7.0"/>
    <col customWidth="1" min="2" max="2" width="22.0"/>
    <col customWidth="1" min="3" max="3" width="46.0"/>
    <col customWidth="1" min="4" max="5" width="9.0"/>
    <col customWidth="1" min="6" max="6" width="10.0"/>
    <col customWidth="1" min="7" max="8" width="11.0"/>
    <col customWidth="1" min="9" max="9" width="12.0"/>
    <col customWidth="1" min="10" max="13" width="13.0"/>
    <col customWidth="1" min="14" max="14" width="30.0"/>
  </cols>
  <sheetData>
    <row r="1" ht="36.0" customHeight="1">
      <c r="A1" s="34" t="s">
        <v>25</v>
      </c>
      <c r="B1" s="2"/>
      <c r="C1" s="2"/>
      <c r="D1" s="2"/>
      <c r="E1" s="2"/>
      <c r="F1" s="2"/>
      <c r="G1" s="2"/>
      <c r="H1" s="2"/>
      <c r="I1" s="2"/>
      <c r="J1" s="2"/>
      <c r="K1" s="2"/>
      <c r="L1" s="2"/>
      <c r="M1" s="2"/>
      <c r="N1" s="2"/>
    </row>
    <row r="2" ht="21.75" customHeight="1">
      <c r="A2" s="35" t="str">
        <f>"Project Owner: "&amp;C3&amp;"   |   Tasks, schedule, and progress for the 11-week build, target finish Nov 30, 2026"</f>
        <v>Project Owner: Thea Consignado   |   Tasks, schedule, and progress for the 11-week build, target finish Nov 30, 2026</v>
      </c>
      <c r="B2" s="2"/>
      <c r="C2" s="2"/>
      <c r="D2" s="2"/>
      <c r="E2" s="2"/>
      <c r="F2" s="2"/>
      <c r="G2" s="2"/>
      <c r="H2" s="2"/>
      <c r="I2" s="2"/>
      <c r="J2" s="2"/>
      <c r="K2" s="2"/>
      <c r="L2" s="2"/>
      <c r="M2" s="2"/>
      <c r="N2" s="2"/>
    </row>
    <row r="3">
      <c r="A3" s="36" t="s">
        <v>26</v>
      </c>
      <c r="C3" s="37" t="s">
        <v>27</v>
      </c>
      <c r="E3" s="38" t="s">
        <v>28</v>
      </c>
    </row>
    <row r="4">
      <c r="A4" s="36" t="s">
        <v>29</v>
      </c>
      <c r="C4" s="39">
        <v>46280.0</v>
      </c>
      <c r="E4" s="40" t="s">
        <v>30</v>
      </c>
    </row>
    <row r="5">
      <c r="A5" s="36" t="s">
        <v>31</v>
      </c>
      <c r="C5" s="41">
        <f>TODAY()</f>
        <v>46304</v>
      </c>
      <c r="E5" s="40" t="s">
        <v>32</v>
      </c>
    </row>
    <row r="6">
      <c r="A6" s="36" t="s">
        <v>33</v>
      </c>
      <c r="C6" s="42">
        <f>MAX(0,MIN(11,INT((C5-C4)/7)+1))</f>
        <v>4</v>
      </c>
      <c r="E6" s="40" t="s">
        <v>34</v>
      </c>
    </row>
    <row r="7">
      <c r="E7" s="40" t="s">
        <v>35</v>
      </c>
    </row>
    <row r="8" ht="33.75" customHeight="1">
      <c r="A8" s="18" t="s">
        <v>36</v>
      </c>
      <c r="B8" s="18" t="s">
        <v>7</v>
      </c>
      <c r="C8" s="18" t="s">
        <v>37</v>
      </c>
      <c r="D8" s="18" t="s">
        <v>38</v>
      </c>
      <c r="E8" s="18" t="s">
        <v>39</v>
      </c>
      <c r="F8" s="18" t="s">
        <v>8</v>
      </c>
      <c r="G8" s="18" t="s">
        <v>40</v>
      </c>
      <c r="H8" s="18" t="s">
        <v>41</v>
      </c>
      <c r="I8" s="18" t="s">
        <v>11</v>
      </c>
      <c r="J8" s="18" t="s">
        <v>42</v>
      </c>
      <c r="K8" s="18" t="s">
        <v>43</v>
      </c>
      <c r="L8" s="18" t="s">
        <v>44</v>
      </c>
      <c r="M8" s="18" t="s">
        <v>45</v>
      </c>
      <c r="N8" s="18" t="s">
        <v>46</v>
      </c>
    </row>
    <row r="9" ht="24.0" customHeight="1">
      <c r="A9" s="43" t="s">
        <v>47</v>
      </c>
      <c r="B9" s="44" t="s">
        <v>13</v>
      </c>
      <c r="C9" s="45" t="s">
        <v>48</v>
      </c>
      <c r="D9" s="46">
        <v>1.0</v>
      </c>
      <c r="E9" s="46">
        <v>1.0</v>
      </c>
      <c r="F9" s="46">
        <v>5.0</v>
      </c>
      <c r="G9" s="47">
        <f t="shared" ref="G9:G31" si="1">$C$4+(D9-1)*7</f>
        <v>46280</v>
      </c>
      <c r="H9" s="47">
        <f t="shared" ref="H9:H31" si="2">$C$4+E9*7-1</f>
        <v>46286</v>
      </c>
      <c r="I9" s="48" t="s">
        <v>14</v>
      </c>
      <c r="J9" s="49">
        <f>IFERROR(VLOOKUP(I9,Lists!$A$5:$B$8,2,FALSE()),0)</f>
        <v>1</v>
      </c>
      <c r="K9" s="50">
        <f t="shared" ref="K9:K31" si="3">MAX(0,MIN(1,($C$6-D9+1)/(E9-D9+1)))</f>
        <v>1</v>
      </c>
      <c r="L9" s="51">
        <f t="shared" ref="L9:L32" si="4">(J9-K9)*100</f>
        <v>0</v>
      </c>
      <c r="M9" s="52" t="str">
        <f t="shared" ref="M9:M31" si="5">IF(AND($C$6&gt;0,J9&lt;1,K9-J9&gt;=0.25),"Behind plan","")</f>
        <v/>
      </c>
      <c r="N9" s="45" t="s">
        <v>49</v>
      </c>
    </row>
    <row r="10" ht="24.0" customHeight="1">
      <c r="A10" s="43" t="s">
        <v>50</v>
      </c>
      <c r="B10" s="44" t="s">
        <v>13</v>
      </c>
      <c r="C10" s="45" t="s">
        <v>51</v>
      </c>
      <c r="D10" s="46">
        <v>1.0</v>
      </c>
      <c r="E10" s="46">
        <v>3.0</v>
      </c>
      <c r="F10" s="46">
        <v>8.0</v>
      </c>
      <c r="G10" s="47">
        <f t="shared" si="1"/>
        <v>46280</v>
      </c>
      <c r="H10" s="47">
        <f t="shared" si="2"/>
        <v>46300</v>
      </c>
      <c r="I10" s="53" t="s">
        <v>16</v>
      </c>
      <c r="J10" s="49">
        <f>IFERROR(VLOOKUP(I10,Lists!$A$5:$B$8,2,FALSE()),0)</f>
        <v>0.5</v>
      </c>
      <c r="K10" s="50">
        <f t="shared" si="3"/>
        <v>1</v>
      </c>
      <c r="L10" s="51">
        <f t="shared" si="4"/>
        <v>-50</v>
      </c>
      <c r="M10" s="52" t="str">
        <f t="shared" si="5"/>
        <v>Behind plan</v>
      </c>
      <c r="N10" s="45" t="s">
        <v>52</v>
      </c>
    </row>
    <row r="11" ht="24.0" customHeight="1">
      <c r="A11" s="43" t="s">
        <v>53</v>
      </c>
      <c r="B11" s="44" t="s">
        <v>13</v>
      </c>
      <c r="C11" s="45" t="s">
        <v>54</v>
      </c>
      <c r="D11" s="46">
        <v>1.0</v>
      </c>
      <c r="E11" s="46">
        <v>3.0</v>
      </c>
      <c r="F11" s="46">
        <v>8.0</v>
      </c>
      <c r="G11" s="47">
        <f t="shared" si="1"/>
        <v>46280</v>
      </c>
      <c r="H11" s="47">
        <f t="shared" si="2"/>
        <v>46300</v>
      </c>
      <c r="I11" s="53" t="s">
        <v>16</v>
      </c>
      <c r="J11" s="49">
        <f>IFERROR(VLOOKUP(I11,Lists!$A$5:$B$8,2,FALSE()),0)</f>
        <v>0.5</v>
      </c>
      <c r="K11" s="50">
        <f t="shared" si="3"/>
        <v>1</v>
      </c>
      <c r="L11" s="51">
        <f t="shared" si="4"/>
        <v>-50</v>
      </c>
      <c r="M11" s="52" t="str">
        <f t="shared" si="5"/>
        <v>Behind plan</v>
      </c>
      <c r="N11" s="45" t="s">
        <v>55</v>
      </c>
    </row>
    <row r="12" ht="24.0" customHeight="1">
      <c r="A12" s="43" t="s">
        <v>56</v>
      </c>
      <c r="B12" s="44" t="s">
        <v>13</v>
      </c>
      <c r="C12" s="45" t="s">
        <v>57</v>
      </c>
      <c r="D12" s="46">
        <v>2.0</v>
      </c>
      <c r="E12" s="46">
        <v>3.0</v>
      </c>
      <c r="F12" s="46">
        <v>5.0</v>
      </c>
      <c r="G12" s="47">
        <f t="shared" si="1"/>
        <v>46287</v>
      </c>
      <c r="H12" s="47">
        <f t="shared" si="2"/>
        <v>46300</v>
      </c>
      <c r="I12" s="53" t="s">
        <v>16</v>
      </c>
      <c r="J12" s="49">
        <f>IFERROR(VLOOKUP(I12,Lists!$A$5:$B$8,2,FALSE()),0)</f>
        <v>0.5</v>
      </c>
      <c r="K12" s="50">
        <f t="shared" si="3"/>
        <v>1</v>
      </c>
      <c r="L12" s="51">
        <f t="shared" si="4"/>
        <v>-50</v>
      </c>
      <c r="M12" s="52" t="str">
        <f t="shared" si="5"/>
        <v>Behind plan</v>
      </c>
      <c r="N12" s="45" t="s">
        <v>58</v>
      </c>
    </row>
    <row r="13" ht="24.0" customHeight="1">
      <c r="A13" s="43" t="s">
        <v>59</v>
      </c>
      <c r="B13" s="44" t="s">
        <v>13</v>
      </c>
      <c r="C13" s="45" t="s">
        <v>60</v>
      </c>
      <c r="D13" s="46">
        <v>2.0</v>
      </c>
      <c r="E13" s="46">
        <v>3.0</v>
      </c>
      <c r="F13" s="46">
        <v>6.0</v>
      </c>
      <c r="G13" s="47">
        <f t="shared" si="1"/>
        <v>46287</v>
      </c>
      <c r="H13" s="47">
        <f t="shared" si="2"/>
        <v>46300</v>
      </c>
      <c r="I13" s="53" t="s">
        <v>16</v>
      </c>
      <c r="J13" s="49">
        <f>IFERROR(VLOOKUP(I13,Lists!$A$5:$B$8,2,FALSE()),0)</f>
        <v>0.5</v>
      </c>
      <c r="K13" s="50">
        <f t="shared" si="3"/>
        <v>1</v>
      </c>
      <c r="L13" s="51">
        <f t="shared" si="4"/>
        <v>-50</v>
      </c>
      <c r="M13" s="52" t="str">
        <f t="shared" si="5"/>
        <v>Behind plan</v>
      </c>
      <c r="N13" s="45" t="s">
        <v>61</v>
      </c>
    </row>
    <row r="14" ht="24.0" customHeight="1">
      <c r="A14" s="43" t="s">
        <v>62</v>
      </c>
      <c r="B14" s="44" t="s">
        <v>13</v>
      </c>
      <c r="C14" s="45" t="s">
        <v>63</v>
      </c>
      <c r="D14" s="46">
        <v>3.0</v>
      </c>
      <c r="E14" s="46">
        <v>3.0</v>
      </c>
      <c r="F14" s="46">
        <v>5.0</v>
      </c>
      <c r="G14" s="47">
        <f t="shared" si="1"/>
        <v>46294</v>
      </c>
      <c r="H14" s="47">
        <f t="shared" si="2"/>
        <v>46300</v>
      </c>
      <c r="I14" s="53" t="s">
        <v>16</v>
      </c>
      <c r="J14" s="49">
        <f>IFERROR(VLOOKUP(I14,Lists!$A$5:$B$8,2,FALSE()),0)</f>
        <v>0.5</v>
      </c>
      <c r="K14" s="50">
        <f t="shared" si="3"/>
        <v>1</v>
      </c>
      <c r="L14" s="51">
        <f t="shared" si="4"/>
        <v>-50</v>
      </c>
      <c r="M14" s="52" t="str">
        <f t="shared" si="5"/>
        <v>Behind plan</v>
      </c>
      <c r="N14" s="45" t="s">
        <v>64</v>
      </c>
    </row>
    <row r="15" ht="24.0" customHeight="1">
      <c r="A15" s="43" t="s">
        <v>65</v>
      </c>
      <c r="B15" s="44" t="s">
        <v>15</v>
      </c>
      <c r="C15" s="45" t="s">
        <v>66</v>
      </c>
      <c r="D15" s="46">
        <v>2.0</v>
      </c>
      <c r="E15" s="46">
        <v>3.0</v>
      </c>
      <c r="F15" s="46">
        <v>10.0</v>
      </c>
      <c r="G15" s="47">
        <f t="shared" si="1"/>
        <v>46287</v>
      </c>
      <c r="H15" s="47">
        <f t="shared" si="2"/>
        <v>46300</v>
      </c>
      <c r="I15" s="53" t="s">
        <v>16</v>
      </c>
      <c r="J15" s="49">
        <f>IFERROR(VLOOKUP(I15,Lists!$A$5:$B$8,2,FALSE()),0)</f>
        <v>0.5</v>
      </c>
      <c r="K15" s="50">
        <f t="shared" si="3"/>
        <v>1</v>
      </c>
      <c r="L15" s="51">
        <f t="shared" si="4"/>
        <v>-50</v>
      </c>
      <c r="M15" s="52" t="str">
        <f t="shared" si="5"/>
        <v>Behind plan</v>
      </c>
      <c r="N15" s="45" t="s">
        <v>67</v>
      </c>
    </row>
    <row r="16" ht="24.0" customHeight="1">
      <c r="A16" s="43" t="s">
        <v>68</v>
      </c>
      <c r="B16" s="44" t="s">
        <v>15</v>
      </c>
      <c r="C16" s="45" t="s">
        <v>69</v>
      </c>
      <c r="D16" s="46">
        <v>3.0</v>
      </c>
      <c r="E16" s="46">
        <v>4.0</v>
      </c>
      <c r="F16" s="46">
        <v>12.0</v>
      </c>
      <c r="G16" s="47">
        <f t="shared" si="1"/>
        <v>46294</v>
      </c>
      <c r="H16" s="47">
        <f t="shared" si="2"/>
        <v>46307</v>
      </c>
      <c r="I16" s="53" t="s">
        <v>16</v>
      </c>
      <c r="J16" s="49">
        <f>IFERROR(VLOOKUP(I16,Lists!$A$5:$B$8,2,FALSE()),0)</f>
        <v>0.5</v>
      </c>
      <c r="K16" s="50">
        <f t="shared" si="3"/>
        <v>1</v>
      </c>
      <c r="L16" s="51">
        <f t="shared" si="4"/>
        <v>-50</v>
      </c>
      <c r="M16" s="52" t="str">
        <f t="shared" si="5"/>
        <v>Behind plan</v>
      </c>
      <c r="N16" s="45" t="s">
        <v>70</v>
      </c>
    </row>
    <row r="17" ht="24.0" customHeight="1">
      <c r="A17" s="43" t="s">
        <v>71</v>
      </c>
      <c r="B17" s="44" t="s">
        <v>15</v>
      </c>
      <c r="C17" s="45" t="s">
        <v>72</v>
      </c>
      <c r="D17" s="46">
        <v>3.0</v>
      </c>
      <c r="E17" s="46">
        <v>4.0</v>
      </c>
      <c r="F17" s="46">
        <v>8.0</v>
      </c>
      <c r="G17" s="47">
        <f t="shared" si="1"/>
        <v>46294</v>
      </c>
      <c r="H17" s="47">
        <f t="shared" si="2"/>
        <v>46307</v>
      </c>
      <c r="I17" s="53" t="s">
        <v>16</v>
      </c>
      <c r="J17" s="49">
        <f>IFERROR(VLOOKUP(I17,Lists!$A$5:$B$8,2,FALSE()),0)</f>
        <v>0.5</v>
      </c>
      <c r="K17" s="50">
        <f t="shared" si="3"/>
        <v>1</v>
      </c>
      <c r="L17" s="51">
        <f t="shared" si="4"/>
        <v>-50</v>
      </c>
      <c r="M17" s="52" t="str">
        <f t="shared" si="5"/>
        <v>Behind plan</v>
      </c>
      <c r="N17" s="45" t="s">
        <v>73</v>
      </c>
    </row>
    <row r="18" ht="24.0" customHeight="1">
      <c r="A18" s="43" t="s">
        <v>74</v>
      </c>
      <c r="B18" s="44" t="s">
        <v>15</v>
      </c>
      <c r="C18" s="45" t="s">
        <v>75</v>
      </c>
      <c r="D18" s="46">
        <v>4.0</v>
      </c>
      <c r="E18" s="46">
        <v>5.0</v>
      </c>
      <c r="F18" s="46">
        <v>8.0</v>
      </c>
      <c r="G18" s="47">
        <f t="shared" si="1"/>
        <v>46301</v>
      </c>
      <c r="H18" s="47">
        <f t="shared" si="2"/>
        <v>46314</v>
      </c>
      <c r="I18" s="53" t="s">
        <v>16</v>
      </c>
      <c r="J18" s="49">
        <f>IFERROR(VLOOKUP(I18,Lists!$A$5:$B$8,2,FALSE()),0)</f>
        <v>0.5</v>
      </c>
      <c r="K18" s="50">
        <f t="shared" si="3"/>
        <v>0.5</v>
      </c>
      <c r="L18" s="51">
        <f t="shared" si="4"/>
        <v>0</v>
      </c>
      <c r="M18" s="52" t="str">
        <f t="shared" si="5"/>
        <v/>
      </c>
      <c r="N18" s="45" t="s">
        <v>76</v>
      </c>
    </row>
    <row r="19" ht="24.0" customHeight="1">
      <c r="A19" s="43" t="s">
        <v>77</v>
      </c>
      <c r="B19" s="44" t="s">
        <v>15</v>
      </c>
      <c r="C19" s="45" t="s">
        <v>78</v>
      </c>
      <c r="D19" s="46">
        <v>4.0</v>
      </c>
      <c r="E19" s="46">
        <v>5.0</v>
      </c>
      <c r="F19" s="46">
        <v>6.0</v>
      </c>
      <c r="G19" s="47">
        <f t="shared" si="1"/>
        <v>46301</v>
      </c>
      <c r="H19" s="47">
        <f t="shared" si="2"/>
        <v>46314</v>
      </c>
      <c r="I19" s="53" t="s">
        <v>16</v>
      </c>
      <c r="J19" s="49">
        <f>IFERROR(VLOOKUP(I19,Lists!$A$5:$B$8,2,FALSE()),0)</f>
        <v>0.5</v>
      </c>
      <c r="K19" s="50">
        <f t="shared" si="3"/>
        <v>0.5</v>
      </c>
      <c r="L19" s="51">
        <f t="shared" si="4"/>
        <v>0</v>
      </c>
      <c r="M19" s="52" t="str">
        <f t="shared" si="5"/>
        <v/>
      </c>
      <c r="N19" s="45" t="s">
        <v>79</v>
      </c>
    </row>
    <row r="20" ht="24.0" customHeight="1">
      <c r="A20" s="43" t="s">
        <v>80</v>
      </c>
      <c r="B20" s="44" t="s">
        <v>15</v>
      </c>
      <c r="C20" s="45" t="s">
        <v>81</v>
      </c>
      <c r="D20" s="46">
        <v>5.0</v>
      </c>
      <c r="E20" s="46">
        <v>6.0</v>
      </c>
      <c r="F20" s="46">
        <v>6.0</v>
      </c>
      <c r="G20" s="47">
        <f t="shared" si="1"/>
        <v>46308</v>
      </c>
      <c r="H20" s="47">
        <f t="shared" si="2"/>
        <v>46321</v>
      </c>
      <c r="I20" s="53" t="s">
        <v>16</v>
      </c>
      <c r="J20" s="49">
        <f>IFERROR(VLOOKUP(I20,Lists!$A$5:$B$8,2,FALSE()),0)</f>
        <v>0.5</v>
      </c>
      <c r="K20" s="50">
        <f t="shared" si="3"/>
        <v>0</v>
      </c>
      <c r="L20" s="51">
        <f t="shared" si="4"/>
        <v>50</v>
      </c>
      <c r="M20" s="52" t="str">
        <f t="shared" si="5"/>
        <v/>
      </c>
      <c r="N20" s="45" t="s">
        <v>82</v>
      </c>
    </row>
    <row r="21" ht="24.0" customHeight="1">
      <c r="A21" s="43" t="s">
        <v>83</v>
      </c>
      <c r="B21" s="44" t="s">
        <v>17</v>
      </c>
      <c r="C21" s="45" t="s">
        <v>84</v>
      </c>
      <c r="D21" s="46">
        <v>5.0</v>
      </c>
      <c r="E21" s="46">
        <v>6.0</v>
      </c>
      <c r="F21" s="46">
        <v>8.0</v>
      </c>
      <c r="G21" s="47">
        <f t="shared" si="1"/>
        <v>46308</v>
      </c>
      <c r="H21" s="47">
        <f t="shared" si="2"/>
        <v>46321</v>
      </c>
      <c r="I21" s="53" t="s">
        <v>16</v>
      </c>
      <c r="J21" s="49">
        <f>IFERROR(VLOOKUP(I21,Lists!$A$5:$B$8,2,FALSE()),0)</f>
        <v>0.5</v>
      </c>
      <c r="K21" s="50">
        <f t="shared" si="3"/>
        <v>0</v>
      </c>
      <c r="L21" s="51">
        <f t="shared" si="4"/>
        <v>50</v>
      </c>
      <c r="M21" s="52" t="str">
        <f t="shared" si="5"/>
        <v/>
      </c>
      <c r="N21" s="45" t="s">
        <v>85</v>
      </c>
    </row>
    <row r="22" ht="24.0" customHeight="1">
      <c r="A22" s="43" t="s">
        <v>86</v>
      </c>
      <c r="B22" s="44" t="s">
        <v>17</v>
      </c>
      <c r="C22" s="45" t="s">
        <v>87</v>
      </c>
      <c r="D22" s="46">
        <v>5.0</v>
      </c>
      <c r="E22" s="46">
        <v>8.0</v>
      </c>
      <c r="F22" s="46">
        <v>14.0</v>
      </c>
      <c r="G22" s="47">
        <f t="shared" si="1"/>
        <v>46308</v>
      </c>
      <c r="H22" s="47">
        <f t="shared" si="2"/>
        <v>46335</v>
      </c>
      <c r="I22" s="53" t="s">
        <v>16</v>
      </c>
      <c r="J22" s="49">
        <f>IFERROR(VLOOKUP(I22,Lists!$A$5:$B$8,2,FALSE()),0)</f>
        <v>0.5</v>
      </c>
      <c r="K22" s="50">
        <f t="shared" si="3"/>
        <v>0</v>
      </c>
      <c r="L22" s="51">
        <f t="shared" si="4"/>
        <v>50</v>
      </c>
      <c r="M22" s="52" t="str">
        <f t="shared" si="5"/>
        <v/>
      </c>
      <c r="N22" s="45" t="s">
        <v>88</v>
      </c>
    </row>
    <row r="23" ht="24.0" customHeight="1">
      <c r="A23" s="43" t="s">
        <v>89</v>
      </c>
      <c r="B23" s="44" t="s">
        <v>17</v>
      </c>
      <c r="C23" s="45" t="s">
        <v>90</v>
      </c>
      <c r="D23" s="46">
        <v>7.0</v>
      </c>
      <c r="E23" s="46">
        <v>8.0</v>
      </c>
      <c r="F23" s="46">
        <v>6.0</v>
      </c>
      <c r="G23" s="47">
        <f t="shared" si="1"/>
        <v>46322</v>
      </c>
      <c r="H23" s="47">
        <f t="shared" si="2"/>
        <v>46335</v>
      </c>
      <c r="I23" s="53" t="s">
        <v>16</v>
      </c>
      <c r="J23" s="49">
        <f>IFERROR(VLOOKUP(I23,Lists!$A$5:$B$8,2,FALSE()),0)</f>
        <v>0.5</v>
      </c>
      <c r="K23" s="50">
        <f t="shared" si="3"/>
        <v>0</v>
      </c>
      <c r="L23" s="51">
        <f t="shared" si="4"/>
        <v>50</v>
      </c>
      <c r="M23" s="52" t="str">
        <f t="shared" si="5"/>
        <v/>
      </c>
      <c r="N23" s="45" t="s">
        <v>91</v>
      </c>
    </row>
    <row r="24" ht="24.0" customHeight="1">
      <c r="A24" s="43" t="s">
        <v>92</v>
      </c>
      <c r="B24" s="44" t="s">
        <v>17</v>
      </c>
      <c r="C24" s="45" t="s">
        <v>93</v>
      </c>
      <c r="D24" s="46">
        <v>7.0</v>
      </c>
      <c r="E24" s="46">
        <v>8.0</v>
      </c>
      <c r="F24" s="46">
        <v>8.0</v>
      </c>
      <c r="G24" s="47">
        <f t="shared" si="1"/>
        <v>46322</v>
      </c>
      <c r="H24" s="47">
        <f t="shared" si="2"/>
        <v>46335</v>
      </c>
      <c r="I24" s="53" t="s">
        <v>16</v>
      </c>
      <c r="J24" s="49">
        <f>IFERROR(VLOOKUP(I24,Lists!$A$5:$B$8,2,FALSE()),0)</f>
        <v>0.5</v>
      </c>
      <c r="K24" s="50">
        <f t="shared" si="3"/>
        <v>0</v>
      </c>
      <c r="L24" s="51">
        <f t="shared" si="4"/>
        <v>50</v>
      </c>
      <c r="M24" s="52" t="str">
        <f t="shared" si="5"/>
        <v/>
      </c>
      <c r="N24" s="45" t="s">
        <v>94</v>
      </c>
    </row>
    <row r="25" ht="24.0" customHeight="1">
      <c r="A25" s="43" t="s">
        <v>95</v>
      </c>
      <c r="B25" s="44" t="s">
        <v>17</v>
      </c>
      <c r="C25" s="45" t="s">
        <v>96</v>
      </c>
      <c r="D25" s="46">
        <v>6.0</v>
      </c>
      <c r="E25" s="46">
        <v>8.0</v>
      </c>
      <c r="F25" s="46">
        <v>10.0</v>
      </c>
      <c r="G25" s="47">
        <f t="shared" si="1"/>
        <v>46315</v>
      </c>
      <c r="H25" s="47">
        <f t="shared" si="2"/>
        <v>46335</v>
      </c>
      <c r="I25" s="53" t="s">
        <v>16</v>
      </c>
      <c r="J25" s="49">
        <f>IFERROR(VLOOKUP(I25,Lists!$A$5:$B$8,2,FALSE()),0)</f>
        <v>0.5</v>
      </c>
      <c r="K25" s="50">
        <f t="shared" si="3"/>
        <v>0</v>
      </c>
      <c r="L25" s="51">
        <f t="shared" si="4"/>
        <v>50</v>
      </c>
      <c r="M25" s="52" t="str">
        <f t="shared" si="5"/>
        <v/>
      </c>
      <c r="N25" s="45" t="s">
        <v>97</v>
      </c>
    </row>
    <row r="26" ht="24.0" customHeight="1">
      <c r="A26" s="43" t="s">
        <v>98</v>
      </c>
      <c r="B26" s="44" t="s">
        <v>17</v>
      </c>
      <c r="C26" s="45" t="s">
        <v>99</v>
      </c>
      <c r="D26" s="46">
        <v>8.0</v>
      </c>
      <c r="E26" s="46">
        <v>9.0</v>
      </c>
      <c r="F26" s="46">
        <v>10.0</v>
      </c>
      <c r="G26" s="47">
        <f t="shared" si="1"/>
        <v>46329</v>
      </c>
      <c r="H26" s="47">
        <f t="shared" si="2"/>
        <v>46342</v>
      </c>
      <c r="I26" s="53" t="s">
        <v>16</v>
      </c>
      <c r="J26" s="49">
        <f>IFERROR(VLOOKUP(I26,Lists!$A$5:$B$8,2,FALSE()),0)</f>
        <v>0.5</v>
      </c>
      <c r="K26" s="50">
        <f t="shared" si="3"/>
        <v>0</v>
      </c>
      <c r="L26" s="51">
        <f t="shared" si="4"/>
        <v>50</v>
      </c>
      <c r="M26" s="52" t="str">
        <f t="shared" si="5"/>
        <v/>
      </c>
      <c r="N26" s="45" t="s">
        <v>100</v>
      </c>
    </row>
    <row r="27" ht="24.0" customHeight="1">
      <c r="A27" s="43" t="s">
        <v>101</v>
      </c>
      <c r="B27" s="44" t="s">
        <v>19</v>
      </c>
      <c r="C27" s="45" t="s">
        <v>102</v>
      </c>
      <c r="D27" s="46">
        <v>6.0</v>
      </c>
      <c r="E27" s="46">
        <v>8.0</v>
      </c>
      <c r="F27" s="46">
        <v>10.0</v>
      </c>
      <c r="G27" s="47">
        <f t="shared" si="1"/>
        <v>46315</v>
      </c>
      <c r="H27" s="47">
        <f t="shared" si="2"/>
        <v>46335</v>
      </c>
      <c r="I27" s="53" t="s">
        <v>16</v>
      </c>
      <c r="J27" s="49">
        <f>IFERROR(VLOOKUP(I27,Lists!$A$5:$B$8,2,FALSE()),0)</f>
        <v>0.5</v>
      </c>
      <c r="K27" s="50">
        <f t="shared" si="3"/>
        <v>0</v>
      </c>
      <c r="L27" s="51">
        <f t="shared" si="4"/>
        <v>50</v>
      </c>
      <c r="M27" s="52" t="str">
        <f t="shared" si="5"/>
        <v/>
      </c>
      <c r="N27" s="45" t="s">
        <v>103</v>
      </c>
    </row>
    <row r="28" ht="24.0" customHeight="1">
      <c r="A28" s="43" t="s">
        <v>104</v>
      </c>
      <c r="B28" s="44" t="s">
        <v>19</v>
      </c>
      <c r="C28" s="45" t="s">
        <v>105</v>
      </c>
      <c r="D28" s="46">
        <v>9.0</v>
      </c>
      <c r="E28" s="46">
        <v>9.0</v>
      </c>
      <c r="F28" s="46">
        <v>10.0</v>
      </c>
      <c r="G28" s="47">
        <f t="shared" si="1"/>
        <v>46336</v>
      </c>
      <c r="H28" s="47">
        <f t="shared" si="2"/>
        <v>46342</v>
      </c>
      <c r="I28" s="53" t="s">
        <v>16</v>
      </c>
      <c r="J28" s="49">
        <f>IFERROR(VLOOKUP(I28,Lists!$A$5:$B$8,2,FALSE()),0)</f>
        <v>0.5</v>
      </c>
      <c r="K28" s="50">
        <f t="shared" si="3"/>
        <v>0</v>
      </c>
      <c r="L28" s="51">
        <f t="shared" si="4"/>
        <v>50</v>
      </c>
      <c r="M28" s="52" t="str">
        <f t="shared" si="5"/>
        <v/>
      </c>
      <c r="N28" s="45" t="s">
        <v>106</v>
      </c>
    </row>
    <row r="29" ht="24.0" customHeight="1">
      <c r="A29" s="43" t="s">
        <v>107</v>
      </c>
      <c r="B29" s="44" t="s">
        <v>19</v>
      </c>
      <c r="C29" s="45" t="s">
        <v>108</v>
      </c>
      <c r="D29" s="46">
        <v>9.0</v>
      </c>
      <c r="E29" s="46">
        <v>10.0</v>
      </c>
      <c r="F29" s="46">
        <v>6.0</v>
      </c>
      <c r="G29" s="47">
        <f t="shared" si="1"/>
        <v>46336</v>
      </c>
      <c r="H29" s="47">
        <f t="shared" si="2"/>
        <v>46349</v>
      </c>
      <c r="I29" s="53" t="s">
        <v>16</v>
      </c>
      <c r="J29" s="49">
        <f>IFERROR(VLOOKUP(I29,Lists!$A$5:$B$8,2,FALSE()),0)</f>
        <v>0.5</v>
      </c>
      <c r="K29" s="50">
        <f t="shared" si="3"/>
        <v>0</v>
      </c>
      <c r="L29" s="51">
        <f t="shared" si="4"/>
        <v>50</v>
      </c>
      <c r="M29" s="52" t="str">
        <f t="shared" si="5"/>
        <v/>
      </c>
      <c r="N29" s="45" t="s">
        <v>109</v>
      </c>
    </row>
    <row r="30" ht="24.0" customHeight="1">
      <c r="A30" s="43" t="s">
        <v>110</v>
      </c>
      <c r="B30" s="44" t="s">
        <v>19</v>
      </c>
      <c r="C30" s="45" t="s">
        <v>111</v>
      </c>
      <c r="D30" s="46">
        <v>9.0</v>
      </c>
      <c r="E30" s="46">
        <v>11.0</v>
      </c>
      <c r="F30" s="46">
        <v>14.0</v>
      </c>
      <c r="G30" s="47">
        <f t="shared" si="1"/>
        <v>46336</v>
      </c>
      <c r="H30" s="47">
        <f t="shared" si="2"/>
        <v>46356</v>
      </c>
      <c r="I30" s="53" t="s">
        <v>20</v>
      </c>
      <c r="J30" s="49">
        <f>IFERROR(VLOOKUP(I30,Lists!$A$5:$B$8,2,FALSE()),0)</f>
        <v>0</v>
      </c>
      <c r="K30" s="50">
        <f t="shared" si="3"/>
        <v>0</v>
      </c>
      <c r="L30" s="51">
        <f t="shared" si="4"/>
        <v>0</v>
      </c>
      <c r="M30" s="52" t="str">
        <f t="shared" si="5"/>
        <v/>
      </c>
      <c r="N30" s="45" t="s">
        <v>112</v>
      </c>
    </row>
    <row r="31" ht="24.0" customHeight="1">
      <c r="A31" s="43" t="s">
        <v>113</v>
      </c>
      <c r="B31" s="44" t="s">
        <v>19</v>
      </c>
      <c r="C31" s="45" t="s">
        <v>114</v>
      </c>
      <c r="D31" s="46">
        <v>10.0</v>
      </c>
      <c r="E31" s="46">
        <v>11.0</v>
      </c>
      <c r="F31" s="46">
        <v>8.0</v>
      </c>
      <c r="G31" s="47">
        <f t="shared" si="1"/>
        <v>46343</v>
      </c>
      <c r="H31" s="47">
        <f t="shared" si="2"/>
        <v>46356</v>
      </c>
      <c r="I31" s="53" t="s">
        <v>20</v>
      </c>
      <c r="J31" s="49">
        <f>IFERROR(VLOOKUP(I31,Lists!$A$5:$B$8,2,FALSE()),0)</f>
        <v>0</v>
      </c>
      <c r="K31" s="50">
        <f t="shared" si="3"/>
        <v>0</v>
      </c>
      <c r="L31" s="51">
        <f t="shared" si="4"/>
        <v>0</v>
      </c>
      <c r="M31" s="52" t="str">
        <f t="shared" si="5"/>
        <v/>
      </c>
      <c r="N31" s="45" t="s">
        <v>115</v>
      </c>
    </row>
    <row r="32" ht="25.5" customHeight="1">
      <c r="A32" s="27" t="s">
        <v>116</v>
      </c>
      <c r="B32" s="54"/>
      <c r="C32" s="54"/>
      <c r="D32" s="54"/>
      <c r="E32" s="54"/>
      <c r="F32" s="28">
        <f>SUM(F9:F31)</f>
        <v>191</v>
      </c>
      <c r="G32" s="54"/>
      <c r="H32" s="54"/>
      <c r="I32" s="54"/>
      <c r="J32" s="55">
        <f>SUMPRODUCT(F9:F31,J9:J31)/F32</f>
        <v>0.4554973822</v>
      </c>
      <c r="K32" s="56">
        <f>SUMPRODUCT(F9:F31,K9:K31)/F32</f>
        <v>0.387434555</v>
      </c>
      <c r="L32" s="57">
        <f t="shared" si="4"/>
        <v>6.806282723</v>
      </c>
      <c r="M32" s="54"/>
      <c r="N32" s="54"/>
    </row>
    <row r="33" ht="15.75" customHeight="1"/>
    <row r="34" ht="15.75" customHeight="1">
      <c r="A34" s="33" t="s">
        <v>117</v>
      </c>
    </row>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9:B31">
    <cfRule type="cellIs" dxfId="2" priority="1" operator="equal">
      <formula>"Foundation"</formula>
    </cfRule>
  </conditionalFormatting>
  <conditionalFormatting sqref="B9:B31">
    <cfRule type="cellIs" dxfId="3" priority="2" operator="equal">
      <formula>"Core selling"</formula>
    </cfRule>
  </conditionalFormatting>
  <conditionalFormatting sqref="B9:B31">
    <cfRule type="cellIs" dxfId="4" priority="3" operator="equal">
      <formula>"Subscription and Admin"</formula>
    </cfRule>
  </conditionalFormatting>
  <conditionalFormatting sqref="B9:B31">
    <cfRule type="cellIs" dxfId="5" priority="4" operator="equal">
      <formula>"Quality and launch"</formula>
    </cfRule>
  </conditionalFormatting>
  <conditionalFormatting sqref="I9:I31">
    <cfRule type="cellIs" dxfId="6" priority="5" operator="equal">
      <formula>"Done"</formula>
    </cfRule>
  </conditionalFormatting>
  <conditionalFormatting sqref="I9:I31">
    <cfRule type="cellIs" dxfId="7" priority="6" operator="equal">
      <formula>"In progress"</formula>
    </cfRule>
  </conditionalFormatting>
  <conditionalFormatting sqref="I9:I31">
    <cfRule type="cellIs" dxfId="8" priority="7" operator="equal">
      <formula>"In testing"</formula>
    </cfRule>
  </conditionalFormatting>
  <conditionalFormatting sqref="I9:I31">
    <cfRule type="cellIs" dxfId="9" priority="8" operator="equal">
      <formula>"Not started"</formula>
    </cfRule>
  </conditionalFormatting>
  <conditionalFormatting sqref="M9:M31">
    <cfRule type="cellIs" dxfId="10" priority="9" operator="equal">
      <formula>"Behind plan"</formula>
    </cfRule>
  </conditionalFormatting>
  <conditionalFormatting sqref="L9:L31">
    <cfRule type="cellIs" dxfId="11" priority="10" operator="lessThanOrEqual">
      <formula>-25</formula>
    </cfRule>
  </conditionalFormatting>
  <conditionalFormatting sqref="A9:A31">
    <cfRule type="expression" dxfId="12" priority="11">
      <formula>MOD(ROW(),2)=0</formula>
    </cfRule>
  </conditionalFormatting>
  <conditionalFormatting sqref="C9:H31">
    <cfRule type="expression" dxfId="12" priority="12">
      <formula>MOD(ROW(),2)=0</formula>
    </cfRule>
  </conditionalFormatting>
  <conditionalFormatting sqref="K9:L31">
    <cfRule type="expression" dxfId="12" priority="13">
      <formula>MOD(ROW(),2)=0</formula>
    </cfRule>
  </conditionalFormatting>
  <conditionalFormatting sqref="N9:N31">
    <cfRule type="expression" dxfId="12" priority="14">
      <formula>MOD(ROW(),2)=0</formula>
    </cfRule>
  </conditionalFormatting>
  <dataValidations>
    <dataValidation type="list" allowBlank="1" showInputMessage="1" showErrorMessage="1" prompt="Status - Pick a status from the list." sqref="I9:I31">
      <formula1>Lists!$A$5:$A$8</formula1>
    </dataValidation>
  </dataValidations>
  <printOptions/>
  <pageMargins bottom="1.0" footer="0.0" header="0.0" left="0.75" right="0.75" top="1.0"/>
  <pageSetup fitToHeight="0" orientation="landscape"/>
  <headerFooter>
    <oddFooter>&amp;L Project Owner: Louren Isobel Rubico&amp;R Page &amp;P of </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F2B3A"/>
    <pageSetUpPr fitToPage="1"/>
  </sheetPr>
  <sheetViews>
    <sheetView showGridLines="0" workbookViewId="0">
      <pane xSplit="2.0" ySplit="5.0" topLeftCell="C6" activePane="bottomRight" state="frozen"/>
      <selection activeCell="C1" sqref="C1" pane="topRight"/>
      <selection activeCell="A6" sqref="A6" pane="bottomLeft"/>
      <selection activeCell="C6" sqref="C6" pane="bottomRight"/>
    </sheetView>
  </sheetViews>
  <sheetFormatPr customHeight="1" defaultColWidth="14.43" defaultRowHeight="15.0"/>
  <cols>
    <col customWidth="1" min="1" max="1" width="7.0"/>
    <col customWidth="1" min="2" max="2" width="48.0"/>
    <col customWidth="1" min="3" max="15" width="7.43"/>
    <col customWidth="1" min="16" max="16" width="10.0"/>
  </cols>
  <sheetData>
    <row r="1" ht="36.0" customHeight="1">
      <c r="A1" s="34" t="s">
        <v>118</v>
      </c>
      <c r="B1" s="2"/>
      <c r="C1" s="2"/>
      <c r="D1" s="2"/>
      <c r="E1" s="2"/>
      <c r="F1" s="2"/>
      <c r="G1" s="2"/>
      <c r="H1" s="2"/>
      <c r="I1" s="2"/>
      <c r="J1" s="2"/>
      <c r="K1" s="2"/>
      <c r="L1" s="2"/>
      <c r="M1" s="2"/>
      <c r="N1" s="2"/>
      <c r="O1" s="2"/>
      <c r="P1" s="2"/>
    </row>
    <row r="2" ht="21.75" customHeight="1">
      <c r="A2" s="35" t="str">
        <f>"Project Owner: "&amp;Tracker!$C$3&amp;"   |   Light teal = scheduled weeks, dark teal = share complete, amber = current week"</f>
        <v>Project Owner: Thea Consignado   |   Light teal = scheduled weeks, dark teal = share complete, amber = current week</v>
      </c>
      <c r="B2" s="2"/>
      <c r="C2" s="2"/>
      <c r="D2" s="2"/>
      <c r="E2" s="2"/>
      <c r="F2" s="2"/>
      <c r="G2" s="2"/>
      <c r="H2" s="2"/>
      <c r="I2" s="2"/>
      <c r="J2" s="2"/>
      <c r="K2" s="2"/>
      <c r="L2" s="2"/>
      <c r="M2" s="2"/>
      <c r="N2" s="2"/>
      <c r="O2" s="2"/>
      <c r="P2" s="2"/>
      <c r="R2" s="58"/>
      <c r="S2" s="59" t="s">
        <v>119</v>
      </c>
    </row>
    <row r="3">
      <c r="C3" s="60" t="s">
        <v>120</v>
      </c>
      <c r="D3" s="61"/>
      <c r="E3" s="61"/>
      <c r="F3" s="62"/>
      <c r="G3" s="63" t="s">
        <v>121</v>
      </c>
      <c r="H3" s="61"/>
      <c r="I3" s="61"/>
      <c r="J3" s="62"/>
      <c r="K3" s="64" t="s">
        <v>122</v>
      </c>
      <c r="L3" s="61"/>
      <c r="M3" s="61"/>
      <c r="N3" s="61"/>
      <c r="O3" s="62"/>
      <c r="R3" s="65"/>
      <c r="S3" s="59" t="s">
        <v>123</v>
      </c>
    </row>
    <row r="4">
      <c r="A4" s="19" t="s">
        <v>36</v>
      </c>
      <c r="B4" s="66" t="s">
        <v>37</v>
      </c>
      <c r="C4" s="67">
        <v>1.0</v>
      </c>
      <c r="D4" s="67">
        <v>2.0</v>
      </c>
      <c r="E4" s="67">
        <v>3.0</v>
      </c>
      <c r="F4" s="67">
        <v>4.0</v>
      </c>
      <c r="G4" s="67">
        <v>5.0</v>
      </c>
      <c r="H4" s="67">
        <v>6.0</v>
      </c>
      <c r="I4" s="67">
        <v>7.0</v>
      </c>
      <c r="J4" s="67">
        <v>8.0</v>
      </c>
      <c r="K4" s="67">
        <v>9.0</v>
      </c>
      <c r="L4" s="67">
        <v>10.0</v>
      </c>
      <c r="M4" s="67">
        <v>11.0</v>
      </c>
      <c r="N4" s="67">
        <v>12.0</v>
      </c>
      <c r="O4" s="67">
        <v>13.0</v>
      </c>
      <c r="P4" s="19" t="s">
        <v>124</v>
      </c>
    </row>
    <row r="5">
      <c r="A5" s="68"/>
      <c r="B5" s="69" t="s">
        <v>125</v>
      </c>
      <c r="C5" s="70">
        <f>Tracker!$C$4+(C$4-1)*7</f>
        <v>46280</v>
      </c>
      <c r="D5" s="70">
        <f>Tracker!$C$4+(D$4-1)*7</f>
        <v>46287</v>
      </c>
      <c r="E5" s="70">
        <f>Tracker!$C$4+(E$4-1)*7</f>
        <v>46294</v>
      </c>
      <c r="F5" s="70">
        <f>Tracker!$C$4+(F$4-1)*7</f>
        <v>46301</v>
      </c>
      <c r="G5" s="70">
        <f>Tracker!$C$4+(G$4-1)*7</f>
        <v>46308</v>
      </c>
      <c r="H5" s="70">
        <f>Tracker!$C$4+(H$4-1)*7</f>
        <v>46315</v>
      </c>
      <c r="I5" s="70">
        <f>Tracker!$C$4+(I$4-1)*7</f>
        <v>46322</v>
      </c>
      <c r="J5" s="70">
        <f>Tracker!$C$4+(J$4-1)*7</f>
        <v>46329</v>
      </c>
      <c r="K5" s="70">
        <f>Tracker!$C$4+(K$4-1)*7</f>
        <v>46336</v>
      </c>
      <c r="L5" s="70">
        <f>Tracker!$C$4+(L$4-1)*7</f>
        <v>46343</v>
      </c>
      <c r="M5" s="70">
        <f>Tracker!$C$4+(M$4-1)*7</f>
        <v>46350</v>
      </c>
      <c r="N5" s="70">
        <f>Tracker!$C$4+(N$4-1)*7</f>
        <v>46357</v>
      </c>
      <c r="O5" s="70">
        <f>Tracker!$C$4+(O$4-1)*7</f>
        <v>46364</v>
      </c>
      <c r="P5" s="68"/>
    </row>
    <row r="6" ht="21.0" customHeight="1">
      <c r="A6" s="43" t="str">
        <f>Tracker!A9</f>
        <v>T01</v>
      </c>
      <c r="B6" s="71" t="str">
        <f>Tracker!C9</f>
        <v>Project setup, architecture, UI/UX foundation</v>
      </c>
      <c r="C6" s="72">
        <f>IF(AND(C$4&gt;=Tracker!$D9,C$4&lt;=Tracker!$E9),IF((C$4-Tracker!$D9+1)/(Tracker!$E9-Tracker!$D9+1)&lt;=Tracker!$J9+0.0001,2,1),0)</f>
        <v>2</v>
      </c>
      <c r="D6" s="72">
        <f>IF(AND(D$4&gt;=Tracker!$D9,D$4&lt;=Tracker!$E9),IF((D$4-Tracker!$D9+1)/(Tracker!$E9-Tracker!$D9+1)&lt;=Tracker!$J9+0.0001,2,1),0)</f>
        <v>0</v>
      </c>
      <c r="E6" s="72">
        <f>IF(AND(E$4&gt;=Tracker!$D9,E$4&lt;=Tracker!$E9),IF((E$4-Tracker!$D9+1)/(Tracker!$E9-Tracker!$D9+1)&lt;=Tracker!$J9+0.0001,2,1),0)</f>
        <v>0</v>
      </c>
      <c r="F6" s="72">
        <f>IF(AND(F$4&gt;=Tracker!$D9,F$4&lt;=Tracker!$E9),IF((F$4-Tracker!$D9+1)/(Tracker!$E9-Tracker!$D9+1)&lt;=Tracker!$J9+0.0001,2,1),0)</f>
        <v>0</v>
      </c>
      <c r="G6" s="72">
        <f>IF(AND(G$4&gt;=Tracker!$D9,G$4&lt;=Tracker!$E9),IF((G$4-Tracker!$D9+1)/(Tracker!$E9-Tracker!$D9+1)&lt;=Tracker!$J9+0.0001,2,1),0)</f>
        <v>0</v>
      </c>
      <c r="H6" s="72">
        <f>IF(AND(H$4&gt;=Tracker!$D9,H$4&lt;=Tracker!$E9),IF((H$4-Tracker!$D9+1)/(Tracker!$E9-Tracker!$D9+1)&lt;=Tracker!$J9+0.0001,2,1),0)</f>
        <v>0</v>
      </c>
      <c r="I6" s="72">
        <f>IF(AND(I$4&gt;=Tracker!$D9,I$4&lt;=Tracker!$E9),IF((I$4-Tracker!$D9+1)/(Tracker!$E9-Tracker!$D9+1)&lt;=Tracker!$J9+0.0001,2,1),0)</f>
        <v>0</v>
      </c>
      <c r="J6" s="72">
        <f>IF(AND(J$4&gt;=Tracker!$D9,J$4&lt;=Tracker!$E9),IF((J$4-Tracker!$D9+1)/(Tracker!$E9-Tracker!$D9+1)&lt;=Tracker!$J9+0.0001,2,1),0)</f>
        <v>0</v>
      </c>
      <c r="K6" s="72">
        <f>IF(AND(K$4&gt;=Tracker!$D9,K$4&lt;=Tracker!$E9),IF((K$4-Tracker!$D9+1)/(Tracker!$E9-Tracker!$D9+1)&lt;=Tracker!$J9+0.0001,2,1),0)</f>
        <v>0</v>
      </c>
      <c r="L6" s="72">
        <f>IF(AND(L$4&gt;=Tracker!$D9,L$4&lt;=Tracker!$E9),IF((L$4-Tracker!$D9+1)/(Tracker!$E9-Tracker!$D9+1)&lt;=Tracker!$J9+0.0001,2,1),0)</f>
        <v>0</v>
      </c>
      <c r="M6" s="72">
        <f>IF(AND(M$4&gt;=Tracker!$D9,M$4&lt;=Tracker!$E9),IF((M$4-Tracker!$D9+1)/(Tracker!$E9-Tracker!$D9+1)&lt;=Tracker!$J9+0.0001,2,1),0)</f>
        <v>0</v>
      </c>
      <c r="N6" s="72">
        <f>IF(AND(N$4&gt;=Tracker!$D9,N$4&lt;=Tracker!$E9),IF((N$4-Tracker!$D9+1)/(Tracker!$E9-Tracker!$D9+1)&lt;=Tracker!$J9+0.0001,2,1),0)</f>
        <v>0</v>
      </c>
      <c r="O6" s="72">
        <f>IF(AND(O$4&gt;=Tracker!$D9,O$4&lt;=Tracker!$E9),IF((O$4-Tracker!$D9+1)/(Tracker!$E9-Tracker!$D9+1)&lt;=Tracker!$J9+0.0001,2,1),0)</f>
        <v>0</v>
      </c>
      <c r="P6" s="49">
        <f>Tracker!J9</f>
        <v>1</v>
      </c>
    </row>
    <row r="7" ht="21.0" customHeight="1">
      <c r="A7" s="43" t="str">
        <f>Tracker!A10</f>
        <v>T02</v>
      </c>
      <c r="B7" s="71" t="str">
        <f>Tracker!C10</f>
        <v>Database design and multi-tenant setup</v>
      </c>
      <c r="C7" s="72">
        <f>IF(AND(C$4&gt;=Tracker!$D10,C$4&lt;=Tracker!$E10),IF((C$4-Tracker!$D10+1)/(Tracker!$E10-Tracker!$D10+1)&lt;=Tracker!$J10+0.0001,2,1),0)</f>
        <v>2</v>
      </c>
      <c r="D7" s="72">
        <f>IF(AND(D$4&gt;=Tracker!$D10,D$4&lt;=Tracker!$E10),IF((D$4-Tracker!$D10+1)/(Tracker!$E10-Tracker!$D10+1)&lt;=Tracker!$J10+0.0001,2,1),0)</f>
        <v>1</v>
      </c>
      <c r="E7" s="72">
        <f>IF(AND(E$4&gt;=Tracker!$D10,E$4&lt;=Tracker!$E10),IF((E$4-Tracker!$D10+1)/(Tracker!$E10-Tracker!$D10+1)&lt;=Tracker!$J10+0.0001,2,1),0)</f>
        <v>1</v>
      </c>
      <c r="F7" s="72">
        <f>IF(AND(F$4&gt;=Tracker!$D10,F$4&lt;=Tracker!$E10),IF((F$4-Tracker!$D10+1)/(Tracker!$E10-Tracker!$D10+1)&lt;=Tracker!$J10+0.0001,2,1),0)</f>
        <v>0</v>
      </c>
      <c r="G7" s="72">
        <f>IF(AND(G$4&gt;=Tracker!$D10,G$4&lt;=Tracker!$E10),IF((G$4-Tracker!$D10+1)/(Tracker!$E10-Tracker!$D10+1)&lt;=Tracker!$J10+0.0001,2,1),0)</f>
        <v>0</v>
      </c>
      <c r="H7" s="72">
        <f>IF(AND(H$4&gt;=Tracker!$D10,H$4&lt;=Tracker!$E10),IF((H$4-Tracker!$D10+1)/(Tracker!$E10-Tracker!$D10+1)&lt;=Tracker!$J10+0.0001,2,1),0)</f>
        <v>0</v>
      </c>
      <c r="I7" s="72">
        <f>IF(AND(I$4&gt;=Tracker!$D10,I$4&lt;=Tracker!$E10),IF((I$4-Tracker!$D10+1)/(Tracker!$E10-Tracker!$D10+1)&lt;=Tracker!$J10+0.0001,2,1),0)</f>
        <v>0</v>
      </c>
      <c r="J7" s="72">
        <f>IF(AND(J$4&gt;=Tracker!$D10,J$4&lt;=Tracker!$E10),IF((J$4-Tracker!$D10+1)/(Tracker!$E10-Tracker!$D10+1)&lt;=Tracker!$J10+0.0001,2,1),0)</f>
        <v>0</v>
      </c>
      <c r="K7" s="72">
        <f>IF(AND(K$4&gt;=Tracker!$D10,K$4&lt;=Tracker!$E10),IF((K$4-Tracker!$D10+1)/(Tracker!$E10-Tracker!$D10+1)&lt;=Tracker!$J10+0.0001,2,1),0)</f>
        <v>0</v>
      </c>
      <c r="L7" s="72">
        <f>IF(AND(L$4&gt;=Tracker!$D10,L$4&lt;=Tracker!$E10),IF((L$4-Tracker!$D10+1)/(Tracker!$E10-Tracker!$D10+1)&lt;=Tracker!$J10+0.0001,2,1),0)</f>
        <v>0</v>
      </c>
      <c r="M7" s="72">
        <f>IF(AND(M$4&gt;=Tracker!$D10,M$4&lt;=Tracker!$E10),IF((M$4-Tracker!$D10+1)/(Tracker!$E10-Tracker!$D10+1)&lt;=Tracker!$J10+0.0001,2,1),0)</f>
        <v>0</v>
      </c>
      <c r="N7" s="72">
        <f>IF(AND(N$4&gt;=Tracker!$D10,N$4&lt;=Tracker!$E10),IF((N$4-Tracker!$D10+1)/(Tracker!$E10-Tracker!$D10+1)&lt;=Tracker!$J10+0.0001,2,1),0)</f>
        <v>0</v>
      </c>
      <c r="O7" s="72">
        <f>IF(AND(O$4&gt;=Tracker!$D10,O$4&lt;=Tracker!$E10),IF((O$4-Tracker!$D10+1)/(Tracker!$E10-Tracker!$D10+1)&lt;=Tracker!$J10+0.0001,2,1),0)</f>
        <v>0</v>
      </c>
      <c r="P7" s="49">
        <f>Tracker!J10</f>
        <v>0.5</v>
      </c>
    </row>
    <row r="8" ht="21.0" customHeight="1">
      <c r="A8" s="43" t="str">
        <f>Tracker!A11</f>
        <v>T03</v>
      </c>
      <c r="B8" s="71" t="str">
        <f>Tracker!C11</f>
        <v>Login, password reset, roles and permissions</v>
      </c>
      <c r="C8" s="72">
        <f>IF(AND(C$4&gt;=Tracker!$D11,C$4&lt;=Tracker!$E11),IF((C$4-Tracker!$D11+1)/(Tracker!$E11-Tracker!$D11+1)&lt;=Tracker!$J11+0.0001,2,1),0)</f>
        <v>2</v>
      </c>
      <c r="D8" s="72">
        <f>IF(AND(D$4&gt;=Tracker!$D11,D$4&lt;=Tracker!$E11),IF((D$4-Tracker!$D11+1)/(Tracker!$E11-Tracker!$D11+1)&lt;=Tracker!$J11+0.0001,2,1),0)</f>
        <v>1</v>
      </c>
      <c r="E8" s="72">
        <f>IF(AND(E$4&gt;=Tracker!$D11,E$4&lt;=Tracker!$E11),IF((E$4-Tracker!$D11+1)/(Tracker!$E11-Tracker!$D11+1)&lt;=Tracker!$J11+0.0001,2,1),0)</f>
        <v>1</v>
      </c>
      <c r="F8" s="72">
        <f>IF(AND(F$4&gt;=Tracker!$D11,F$4&lt;=Tracker!$E11),IF((F$4-Tracker!$D11+1)/(Tracker!$E11-Tracker!$D11+1)&lt;=Tracker!$J11+0.0001,2,1),0)</f>
        <v>0</v>
      </c>
      <c r="G8" s="72">
        <f>IF(AND(G$4&gt;=Tracker!$D11,G$4&lt;=Tracker!$E11),IF((G$4-Tracker!$D11+1)/(Tracker!$E11-Tracker!$D11+1)&lt;=Tracker!$J11+0.0001,2,1),0)</f>
        <v>0</v>
      </c>
      <c r="H8" s="72">
        <f>IF(AND(H$4&gt;=Tracker!$D11,H$4&lt;=Tracker!$E11),IF((H$4-Tracker!$D11+1)/(Tracker!$E11-Tracker!$D11+1)&lt;=Tracker!$J11+0.0001,2,1),0)</f>
        <v>0</v>
      </c>
      <c r="I8" s="72">
        <f>IF(AND(I$4&gt;=Tracker!$D11,I$4&lt;=Tracker!$E11),IF((I$4-Tracker!$D11+1)/(Tracker!$E11-Tracker!$D11+1)&lt;=Tracker!$J11+0.0001,2,1),0)</f>
        <v>0</v>
      </c>
      <c r="J8" s="72">
        <f>IF(AND(J$4&gt;=Tracker!$D11,J$4&lt;=Tracker!$E11),IF((J$4-Tracker!$D11+1)/(Tracker!$E11-Tracker!$D11+1)&lt;=Tracker!$J11+0.0001,2,1),0)</f>
        <v>0</v>
      </c>
      <c r="K8" s="72">
        <f>IF(AND(K$4&gt;=Tracker!$D11,K$4&lt;=Tracker!$E11),IF((K$4-Tracker!$D11+1)/(Tracker!$E11-Tracker!$D11+1)&lt;=Tracker!$J11+0.0001,2,1),0)</f>
        <v>0</v>
      </c>
      <c r="L8" s="72">
        <f>IF(AND(L$4&gt;=Tracker!$D11,L$4&lt;=Tracker!$E11),IF((L$4-Tracker!$D11+1)/(Tracker!$E11-Tracker!$D11+1)&lt;=Tracker!$J11+0.0001,2,1),0)</f>
        <v>0</v>
      </c>
      <c r="M8" s="72">
        <f>IF(AND(M$4&gt;=Tracker!$D11,M$4&lt;=Tracker!$E11),IF((M$4-Tracker!$D11+1)/(Tracker!$E11-Tracker!$D11+1)&lt;=Tracker!$J11+0.0001,2,1),0)</f>
        <v>0</v>
      </c>
      <c r="N8" s="72">
        <f>IF(AND(N$4&gt;=Tracker!$D11,N$4&lt;=Tracker!$E11),IF((N$4-Tracker!$D11+1)/(Tracker!$E11-Tracker!$D11+1)&lt;=Tracker!$J11+0.0001,2,1),0)</f>
        <v>0</v>
      </c>
      <c r="O8" s="72">
        <f>IF(AND(O$4&gt;=Tracker!$D11,O$4&lt;=Tracker!$E11),IF((O$4-Tracker!$D11+1)/(Tracker!$E11-Tracker!$D11+1)&lt;=Tracker!$J11+0.0001,2,1),0)</f>
        <v>0</v>
      </c>
      <c r="P8" s="49">
        <f>Tracker!J11</f>
        <v>0.5</v>
      </c>
    </row>
    <row r="9" ht="21.0" customHeight="1">
      <c r="A9" s="43" t="str">
        <f>Tracker!A12</f>
        <v>T04</v>
      </c>
      <c r="B9" s="71" t="str">
        <f>Tracker!C12</f>
        <v>User accounts, access and activity logs</v>
      </c>
      <c r="C9" s="72">
        <f>IF(AND(C$4&gt;=Tracker!$D12,C$4&lt;=Tracker!$E12),IF((C$4-Tracker!$D12+1)/(Tracker!$E12-Tracker!$D12+1)&lt;=Tracker!$J12+0.0001,2,1),0)</f>
        <v>0</v>
      </c>
      <c r="D9" s="72">
        <f>IF(AND(D$4&gt;=Tracker!$D12,D$4&lt;=Tracker!$E12),IF((D$4-Tracker!$D12+1)/(Tracker!$E12-Tracker!$D12+1)&lt;=Tracker!$J12+0.0001,2,1),0)</f>
        <v>2</v>
      </c>
      <c r="E9" s="72">
        <f>IF(AND(E$4&gt;=Tracker!$D12,E$4&lt;=Tracker!$E12),IF((E$4-Tracker!$D12+1)/(Tracker!$E12-Tracker!$D12+1)&lt;=Tracker!$J12+0.0001,2,1),0)</f>
        <v>1</v>
      </c>
      <c r="F9" s="72">
        <f>IF(AND(F$4&gt;=Tracker!$D12,F$4&lt;=Tracker!$E12),IF((F$4-Tracker!$D12+1)/(Tracker!$E12-Tracker!$D12+1)&lt;=Tracker!$J12+0.0001,2,1),0)</f>
        <v>0</v>
      </c>
      <c r="G9" s="72">
        <f>IF(AND(G$4&gt;=Tracker!$D12,G$4&lt;=Tracker!$E12),IF((G$4-Tracker!$D12+1)/(Tracker!$E12-Tracker!$D12+1)&lt;=Tracker!$J12+0.0001,2,1),0)</f>
        <v>0</v>
      </c>
      <c r="H9" s="72">
        <f>IF(AND(H$4&gt;=Tracker!$D12,H$4&lt;=Tracker!$E12),IF((H$4-Tracker!$D12+1)/(Tracker!$E12-Tracker!$D12+1)&lt;=Tracker!$J12+0.0001,2,1),0)</f>
        <v>0</v>
      </c>
      <c r="I9" s="72">
        <f>IF(AND(I$4&gt;=Tracker!$D12,I$4&lt;=Tracker!$E12),IF((I$4-Tracker!$D12+1)/(Tracker!$E12-Tracker!$D12+1)&lt;=Tracker!$J12+0.0001,2,1),0)</f>
        <v>0</v>
      </c>
      <c r="J9" s="72">
        <f>IF(AND(J$4&gt;=Tracker!$D12,J$4&lt;=Tracker!$E12),IF((J$4-Tracker!$D12+1)/(Tracker!$E12-Tracker!$D12+1)&lt;=Tracker!$J12+0.0001,2,1),0)</f>
        <v>0</v>
      </c>
      <c r="K9" s="72">
        <f>IF(AND(K$4&gt;=Tracker!$D12,K$4&lt;=Tracker!$E12),IF((K$4-Tracker!$D12+1)/(Tracker!$E12-Tracker!$D12+1)&lt;=Tracker!$J12+0.0001,2,1),0)</f>
        <v>0</v>
      </c>
      <c r="L9" s="72">
        <f>IF(AND(L$4&gt;=Tracker!$D12,L$4&lt;=Tracker!$E12),IF((L$4-Tracker!$D12+1)/(Tracker!$E12-Tracker!$D12+1)&lt;=Tracker!$J12+0.0001,2,1),0)</f>
        <v>0</v>
      </c>
      <c r="M9" s="72">
        <f>IF(AND(M$4&gt;=Tracker!$D12,M$4&lt;=Tracker!$E12),IF((M$4-Tracker!$D12+1)/(Tracker!$E12-Tracker!$D12+1)&lt;=Tracker!$J12+0.0001,2,1),0)</f>
        <v>0</v>
      </c>
      <c r="N9" s="72">
        <f>IF(AND(N$4&gt;=Tracker!$D12,N$4&lt;=Tracker!$E12),IF((N$4-Tracker!$D12+1)/(Tracker!$E12-Tracker!$D12+1)&lt;=Tracker!$J12+0.0001,2,1),0)</f>
        <v>0</v>
      </c>
      <c r="O9" s="72">
        <f>IF(AND(O$4&gt;=Tracker!$D12,O$4&lt;=Tracker!$E12),IF((O$4-Tracker!$D12+1)/(Tracker!$E12-Tracker!$D12+1)&lt;=Tracker!$J12+0.0001,2,1),0)</f>
        <v>0</v>
      </c>
      <c r="P9" s="49">
        <f>Tracker!J12</f>
        <v>0.5</v>
      </c>
    </row>
    <row r="10" ht="21.0" customHeight="1">
      <c r="A10" s="43" t="str">
        <f>Tracker!A13</f>
        <v>T05</v>
      </c>
      <c r="B10" s="71" t="str">
        <f>Tracker!C13</f>
        <v>Company information, payroll settings, holidays</v>
      </c>
      <c r="C10" s="72">
        <f>IF(AND(C$4&gt;=Tracker!$D13,C$4&lt;=Tracker!$E13),IF((C$4-Tracker!$D13+1)/(Tracker!$E13-Tracker!$D13+1)&lt;=Tracker!$J13+0.0001,2,1),0)</f>
        <v>0</v>
      </c>
      <c r="D10" s="72">
        <f>IF(AND(D$4&gt;=Tracker!$D13,D$4&lt;=Tracker!$E13),IF((D$4-Tracker!$D13+1)/(Tracker!$E13-Tracker!$D13+1)&lt;=Tracker!$J13+0.0001,2,1),0)</f>
        <v>2</v>
      </c>
      <c r="E10" s="72">
        <f>IF(AND(E$4&gt;=Tracker!$D13,E$4&lt;=Tracker!$E13),IF((E$4-Tracker!$D13+1)/(Tracker!$E13-Tracker!$D13+1)&lt;=Tracker!$J13+0.0001,2,1),0)</f>
        <v>1</v>
      </c>
      <c r="F10" s="72">
        <f>IF(AND(F$4&gt;=Tracker!$D13,F$4&lt;=Tracker!$E13),IF((F$4-Tracker!$D13+1)/(Tracker!$E13-Tracker!$D13+1)&lt;=Tracker!$J13+0.0001,2,1),0)</f>
        <v>0</v>
      </c>
      <c r="G10" s="72">
        <f>IF(AND(G$4&gt;=Tracker!$D13,G$4&lt;=Tracker!$E13),IF((G$4-Tracker!$D13+1)/(Tracker!$E13-Tracker!$D13+1)&lt;=Tracker!$J13+0.0001,2,1),0)</f>
        <v>0</v>
      </c>
      <c r="H10" s="72">
        <f>IF(AND(H$4&gt;=Tracker!$D13,H$4&lt;=Tracker!$E13),IF((H$4-Tracker!$D13+1)/(Tracker!$E13-Tracker!$D13+1)&lt;=Tracker!$J13+0.0001,2,1),0)</f>
        <v>0</v>
      </c>
      <c r="I10" s="72">
        <f>IF(AND(I$4&gt;=Tracker!$D13,I$4&lt;=Tracker!$E13),IF((I$4-Tracker!$D13+1)/(Tracker!$E13-Tracker!$D13+1)&lt;=Tracker!$J13+0.0001,2,1),0)</f>
        <v>0</v>
      </c>
      <c r="J10" s="72">
        <f>IF(AND(J$4&gt;=Tracker!$D13,J$4&lt;=Tracker!$E13),IF((J$4-Tracker!$D13+1)/(Tracker!$E13-Tracker!$D13+1)&lt;=Tracker!$J13+0.0001,2,1),0)</f>
        <v>0</v>
      </c>
      <c r="K10" s="72">
        <f>IF(AND(K$4&gt;=Tracker!$D13,K$4&lt;=Tracker!$E13),IF((K$4-Tracker!$D13+1)/(Tracker!$E13-Tracker!$D13+1)&lt;=Tracker!$J13+0.0001,2,1),0)</f>
        <v>0</v>
      </c>
      <c r="L10" s="72">
        <f>IF(AND(L$4&gt;=Tracker!$D13,L$4&lt;=Tracker!$E13),IF((L$4-Tracker!$D13+1)/(Tracker!$E13-Tracker!$D13+1)&lt;=Tracker!$J13+0.0001,2,1),0)</f>
        <v>0</v>
      </c>
      <c r="M10" s="72">
        <f>IF(AND(M$4&gt;=Tracker!$D13,M$4&lt;=Tracker!$E13),IF((M$4-Tracker!$D13+1)/(Tracker!$E13-Tracker!$D13+1)&lt;=Tracker!$J13+0.0001,2,1),0)</f>
        <v>0</v>
      </c>
      <c r="N10" s="72">
        <f>IF(AND(N$4&gt;=Tracker!$D13,N$4&lt;=Tracker!$E13),IF((N$4-Tracker!$D13+1)/(Tracker!$E13-Tracker!$D13+1)&lt;=Tracker!$J13+0.0001,2,1),0)</f>
        <v>0</v>
      </c>
      <c r="O10" s="72">
        <f>IF(AND(O$4&gt;=Tracker!$D13,O$4&lt;=Tracker!$E13),IF((O$4-Tracker!$D13+1)/(Tracker!$E13-Tracker!$D13+1)&lt;=Tracker!$J13+0.0001,2,1),0)</f>
        <v>0</v>
      </c>
      <c r="P10" s="49">
        <f>Tracker!J13</f>
        <v>0.5</v>
      </c>
    </row>
    <row r="11" ht="21.0" customHeight="1">
      <c r="A11" s="43" t="str">
        <f>Tracker!A14</f>
        <v>T06</v>
      </c>
      <c r="B11" s="71" t="str">
        <f>Tracker!C14</f>
        <v>Branches and onboarding</v>
      </c>
      <c r="C11" s="72">
        <f>IF(AND(C$4&gt;=Tracker!$D14,C$4&lt;=Tracker!$E14),IF((C$4-Tracker!$D14+1)/(Tracker!$E14-Tracker!$D14+1)&lt;=Tracker!$J14+0.0001,2,1),0)</f>
        <v>0</v>
      </c>
      <c r="D11" s="72">
        <f>IF(AND(D$4&gt;=Tracker!$D14,D$4&lt;=Tracker!$E14),IF((D$4-Tracker!$D14+1)/(Tracker!$E14-Tracker!$D14+1)&lt;=Tracker!$J14+0.0001,2,1),0)</f>
        <v>0</v>
      </c>
      <c r="E11" s="72">
        <f>IF(AND(E$4&gt;=Tracker!$D14,E$4&lt;=Tracker!$E14),IF((E$4-Tracker!$D14+1)/(Tracker!$E14-Tracker!$D14+1)&lt;=Tracker!$J14+0.0001,2,1),0)</f>
        <v>1</v>
      </c>
      <c r="F11" s="72">
        <f>IF(AND(F$4&gt;=Tracker!$D14,F$4&lt;=Tracker!$E14),IF((F$4-Tracker!$D14+1)/(Tracker!$E14-Tracker!$D14+1)&lt;=Tracker!$J14+0.0001,2,1),0)</f>
        <v>0</v>
      </c>
      <c r="G11" s="72">
        <f>IF(AND(G$4&gt;=Tracker!$D14,G$4&lt;=Tracker!$E14),IF((G$4-Tracker!$D14+1)/(Tracker!$E14-Tracker!$D14+1)&lt;=Tracker!$J14+0.0001,2,1),0)</f>
        <v>0</v>
      </c>
      <c r="H11" s="72">
        <f>IF(AND(H$4&gt;=Tracker!$D14,H$4&lt;=Tracker!$E14),IF((H$4-Tracker!$D14+1)/(Tracker!$E14-Tracker!$D14+1)&lt;=Tracker!$J14+0.0001,2,1),0)</f>
        <v>0</v>
      </c>
      <c r="I11" s="72">
        <f>IF(AND(I$4&gt;=Tracker!$D14,I$4&lt;=Tracker!$E14),IF((I$4-Tracker!$D14+1)/(Tracker!$E14-Tracker!$D14+1)&lt;=Tracker!$J14+0.0001,2,1),0)</f>
        <v>0</v>
      </c>
      <c r="J11" s="72">
        <f>IF(AND(J$4&gt;=Tracker!$D14,J$4&lt;=Tracker!$E14),IF((J$4-Tracker!$D14+1)/(Tracker!$E14-Tracker!$D14+1)&lt;=Tracker!$J14+0.0001,2,1),0)</f>
        <v>0</v>
      </c>
      <c r="K11" s="72">
        <f>IF(AND(K$4&gt;=Tracker!$D14,K$4&lt;=Tracker!$E14),IF((K$4-Tracker!$D14+1)/(Tracker!$E14-Tracker!$D14+1)&lt;=Tracker!$J14+0.0001,2,1),0)</f>
        <v>0</v>
      </c>
      <c r="L11" s="72">
        <f>IF(AND(L$4&gt;=Tracker!$D14,L$4&lt;=Tracker!$E14),IF((L$4-Tracker!$D14+1)/(Tracker!$E14-Tracker!$D14+1)&lt;=Tracker!$J14+0.0001,2,1),0)</f>
        <v>0</v>
      </c>
      <c r="M11" s="72">
        <f>IF(AND(M$4&gt;=Tracker!$D14,M$4&lt;=Tracker!$E14),IF((M$4-Tracker!$D14+1)/(Tracker!$E14-Tracker!$D14+1)&lt;=Tracker!$J14+0.0001,2,1),0)</f>
        <v>0</v>
      </c>
      <c r="N11" s="72">
        <f>IF(AND(N$4&gt;=Tracker!$D14,N$4&lt;=Tracker!$E14),IF((N$4-Tracker!$D14+1)/(Tracker!$E14-Tracker!$D14+1)&lt;=Tracker!$J14+0.0001,2,1),0)</f>
        <v>0</v>
      </c>
      <c r="O11" s="72">
        <f>IF(AND(O$4&gt;=Tracker!$D14,O$4&lt;=Tracker!$E14),IF((O$4-Tracker!$D14+1)/(Tracker!$E14-Tracker!$D14+1)&lt;=Tracker!$J14+0.0001,2,1),0)</f>
        <v>0</v>
      </c>
      <c r="P11" s="49">
        <f>Tracker!J14</f>
        <v>0.5</v>
      </c>
    </row>
    <row r="12" ht="21.0" customHeight="1">
      <c r="A12" s="43" t="str">
        <f>Tracker!A15</f>
        <v>T07</v>
      </c>
      <c r="B12" s="71" t="str">
        <f>Tracker!C15</f>
        <v>Employee management (list, profile, import)</v>
      </c>
      <c r="C12" s="72">
        <f>IF(AND(C$4&gt;=Tracker!$D15,C$4&lt;=Tracker!$E15),IF((C$4-Tracker!$D15+1)/(Tracker!$E15-Tracker!$D15+1)&lt;=Tracker!$J15+0.0001,2,1),0)</f>
        <v>0</v>
      </c>
      <c r="D12" s="72">
        <f>IF(AND(D$4&gt;=Tracker!$D15,D$4&lt;=Tracker!$E15),IF((D$4-Tracker!$D15+1)/(Tracker!$E15-Tracker!$D15+1)&lt;=Tracker!$J15+0.0001,2,1),0)</f>
        <v>2</v>
      </c>
      <c r="E12" s="72">
        <f>IF(AND(E$4&gt;=Tracker!$D15,E$4&lt;=Tracker!$E15),IF((E$4-Tracker!$D15+1)/(Tracker!$E15-Tracker!$D15+1)&lt;=Tracker!$J15+0.0001,2,1),0)</f>
        <v>1</v>
      </c>
      <c r="F12" s="72">
        <f>IF(AND(F$4&gt;=Tracker!$D15,F$4&lt;=Tracker!$E15),IF((F$4-Tracker!$D15+1)/(Tracker!$E15-Tracker!$D15+1)&lt;=Tracker!$J15+0.0001,2,1),0)</f>
        <v>0</v>
      </c>
      <c r="G12" s="72">
        <f>IF(AND(G$4&gt;=Tracker!$D15,G$4&lt;=Tracker!$E15),IF((G$4-Tracker!$D15+1)/(Tracker!$E15-Tracker!$D15+1)&lt;=Tracker!$J15+0.0001,2,1),0)</f>
        <v>0</v>
      </c>
      <c r="H12" s="72">
        <f>IF(AND(H$4&gt;=Tracker!$D15,H$4&lt;=Tracker!$E15),IF((H$4-Tracker!$D15+1)/(Tracker!$E15-Tracker!$D15+1)&lt;=Tracker!$J15+0.0001,2,1),0)</f>
        <v>0</v>
      </c>
      <c r="I12" s="72">
        <f>IF(AND(I$4&gt;=Tracker!$D15,I$4&lt;=Tracker!$E15),IF((I$4-Tracker!$D15+1)/(Tracker!$E15-Tracker!$D15+1)&lt;=Tracker!$J15+0.0001,2,1),0)</f>
        <v>0</v>
      </c>
      <c r="J12" s="72">
        <f>IF(AND(J$4&gt;=Tracker!$D15,J$4&lt;=Tracker!$E15),IF((J$4-Tracker!$D15+1)/(Tracker!$E15-Tracker!$D15+1)&lt;=Tracker!$J15+0.0001,2,1),0)</f>
        <v>0</v>
      </c>
      <c r="K12" s="72">
        <f>IF(AND(K$4&gt;=Tracker!$D15,K$4&lt;=Tracker!$E15),IF((K$4-Tracker!$D15+1)/(Tracker!$E15-Tracker!$D15+1)&lt;=Tracker!$J15+0.0001,2,1),0)</f>
        <v>0</v>
      </c>
      <c r="L12" s="72">
        <f>IF(AND(L$4&gt;=Tracker!$D15,L$4&lt;=Tracker!$E15),IF((L$4-Tracker!$D15+1)/(Tracker!$E15-Tracker!$D15+1)&lt;=Tracker!$J15+0.0001,2,1),0)</f>
        <v>0</v>
      </c>
      <c r="M12" s="72">
        <f>IF(AND(M$4&gt;=Tracker!$D15,M$4&lt;=Tracker!$E15),IF((M$4-Tracker!$D15+1)/(Tracker!$E15-Tracker!$D15+1)&lt;=Tracker!$J15+0.0001,2,1),0)</f>
        <v>0</v>
      </c>
      <c r="N12" s="72">
        <f>IF(AND(N$4&gt;=Tracker!$D15,N$4&lt;=Tracker!$E15),IF((N$4-Tracker!$D15+1)/(Tracker!$E15-Tracker!$D15+1)&lt;=Tracker!$J15+0.0001,2,1),0)</f>
        <v>0</v>
      </c>
      <c r="O12" s="72">
        <f>IF(AND(O$4&gt;=Tracker!$D15,O$4&lt;=Tracker!$E15),IF((O$4-Tracker!$D15+1)/(Tracker!$E15-Tracker!$D15+1)&lt;=Tracker!$J15+0.0001,2,1),0)</f>
        <v>0</v>
      </c>
      <c r="P12" s="49">
        <f>Tracker!J15</f>
        <v>0.5</v>
      </c>
    </row>
    <row r="13" ht="21.0" customHeight="1">
      <c r="A13" s="43" t="str">
        <f>Tracker!A16</f>
        <v>T08</v>
      </c>
      <c r="B13" s="71" t="str">
        <f>Tracker!C16</f>
        <v>Attendance, adjustments and biometrics</v>
      </c>
      <c r="C13" s="72">
        <f>IF(AND(C$4&gt;=Tracker!$D16,C$4&lt;=Tracker!$E16),IF((C$4-Tracker!$D16+1)/(Tracker!$E16-Tracker!$D16+1)&lt;=Tracker!$J16+0.0001,2,1),0)</f>
        <v>0</v>
      </c>
      <c r="D13" s="72">
        <f>IF(AND(D$4&gt;=Tracker!$D16,D$4&lt;=Tracker!$E16),IF((D$4-Tracker!$D16+1)/(Tracker!$E16-Tracker!$D16+1)&lt;=Tracker!$J16+0.0001,2,1),0)</f>
        <v>0</v>
      </c>
      <c r="E13" s="72">
        <f>IF(AND(E$4&gt;=Tracker!$D16,E$4&lt;=Tracker!$E16),IF((E$4-Tracker!$D16+1)/(Tracker!$E16-Tracker!$D16+1)&lt;=Tracker!$J16+0.0001,2,1),0)</f>
        <v>2</v>
      </c>
      <c r="F13" s="72">
        <f>IF(AND(F$4&gt;=Tracker!$D16,F$4&lt;=Tracker!$E16),IF((F$4-Tracker!$D16+1)/(Tracker!$E16-Tracker!$D16+1)&lt;=Tracker!$J16+0.0001,2,1),0)</f>
        <v>1</v>
      </c>
      <c r="G13" s="72">
        <f>IF(AND(G$4&gt;=Tracker!$D16,G$4&lt;=Tracker!$E16),IF((G$4-Tracker!$D16+1)/(Tracker!$E16-Tracker!$D16+1)&lt;=Tracker!$J16+0.0001,2,1),0)</f>
        <v>0</v>
      </c>
      <c r="H13" s="72">
        <f>IF(AND(H$4&gt;=Tracker!$D16,H$4&lt;=Tracker!$E16),IF((H$4-Tracker!$D16+1)/(Tracker!$E16-Tracker!$D16+1)&lt;=Tracker!$J16+0.0001,2,1),0)</f>
        <v>0</v>
      </c>
      <c r="I13" s="72">
        <f>IF(AND(I$4&gt;=Tracker!$D16,I$4&lt;=Tracker!$E16),IF((I$4-Tracker!$D16+1)/(Tracker!$E16-Tracker!$D16+1)&lt;=Tracker!$J16+0.0001,2,1),0)</f>
        <v>0</v>
      </c>
      <c r="J13" s="72">
        <f>IF(AND(J$4&gt;=Tracker!$D16,J$4&lt;=Tracker!$E16),IF((J$4-Tracker!$D16+1)/(Tracker!$E16-Tracker!$D16+1)&lt;=Tracker!$J16+0.0001,2,1),0)</f>
        <v>0</v>
      </c>
      <c r="K13" s="72">
        <f>IF(AND(K$4&gt;=Tracker!$D16,K$4&lt;=Tracker!$E16),IF((K$4-Tracker!$D16+1)/(Tracker!$E16-Tracker!$D16+1)&lt;=Tracker!$J16+0.0001,2,1),0)</f>
        <v>0</v>
      </c>
      <c r="L13" s="72">
        <f>IF(AND(L$4&gt;=Tracker!$D16,L$4&lt;=Tracker!$E16),IF((L$4-Tracker!$D16+1)/(Tracker!$E16-Tracker!$D16+1)&lt;=Tracker!$J16+0.0001,2,1),0)</f>
        <v>0</v>
      </c>
      <c r="M13" s="72">
        <f>IF(AND(M$4&gt;=Tracker!$D16,M$4&lt;=Tracker!$E16),IF((M$4-Tracker!$D16+1)/(Tracker!$E16-Tracker!$D16+1)&lt;=Tracker!$J16+0.0001,2,1),0)</f>
        <v>0</v>
      </c>
      <c r="N13" s="72">
        <f>IF(AND(N$4&gt;=Tracker!$D16,N$4&lt;=Tracker!$E16),IF((N$4-Tracker!$D16+1)/(Tracker!$E16-Tracker!$D16+1)&lt;=Tracker!$J16+0.0001,2,1),0)</f>
        <v>0</v>
      </c>
      <c r="O13" s="72">
        <f>IF(AND(O$4&gt;=Tracker!$D16,O$4&lt;=Tracker!$E16),IF((O$4-Tracker!$D16+1)/(Tracker!$E16-Tracker!$D16+1)&lt;=Tracker!$J16+0.0001,2,1),0)</f>
        <v>0</v>
      </c>
      <c r="P13" s="49">
        <f>Tracker!J16</f>
        <v>0.5</v>
      </c>
    </row>
    <row r="14" ht="21.0" customHeight="1">
      <c r="A14" s="43" t="str">
        <f>Tracker!A17</f>
        <v>T09</v>
      </c>
      <c r="B14" s="71" t="str">
        <f>Tracker!C17</f>
        <v>Schedules (roster, teams, shift templates)</v>
      </c>
      <c r="C14" s="72">
        <f>IF(AND(C$4&gt;=Tracker!$D17,C$4&lt;=Tracker!$E17),IF((C$4-Tracker!$D17+1)/(Tracker!$E17-Tracker!$D17+1)&lt;=Tracker!$J17+0.0001,2,1),0)</f>
        <v>0</v>
      </c>
      <c r="D14" s="72">
        <f>IF(AND(D$4&gt;=Tracker!$D17,D$4&lt;=Tracker!$E17),IF((D$4-Tracker!$D17+1)/(Tracker!$E17-Tracker!$D17+1)&lt;=Tracker!$J17+0.0001,2,1),0)</f>
        <v>0</v>
      </c>
      <c r="E14" s="72">
        <f>IF(AND(E$4&gt;=Tracker!$D17,E$4&lt;=Tracker!$E17),IF((E$4-Tracker!$D17+1)/(Tracker!$E17-Tracker!$D17+1)&lt;=Tracker!$J17+0.0001,2,1),0)</f>
        <v>2</v>
      </c>
      <c r="F14" s="72">
        <f>IF(AND(F$4&gt;=Tracker!$D17,F$4&lt;=Tracker!$E17),IF((F$4-Tracker!$D17+1)/(Tracker!$E17-Tracker!$D17+1)&lt;=Tracker!$J17+0.0001,2,1),0)</f>
        <v>1</v>
      </c>
      <c r="G14" s="72">
        <f>IF(AND(G$4&gt;=Tracker!$D17,G$4&lt;=Tracker!$E17),IF((G$4-Tracker!$D17+1)/(Tracker!$E17-Tracker!$D17+1)&lt;=Tracker!$J17+0.0001,2,1),0)</f>
        <v>0</v>
      </c>
      <c r="H14" s="72">
        <f>IF(AND(H$4&gt;=Tracker!$D17,H$4&lt;=Tracker!$E17),IF((H$4-Tracker!$D17+1)/(Tracker!$E17-Tracker!$D17+1)&lt;=Tracker!$J17+0.0001,2,1),0)</f>
        <v>0</v>
      </c>
      <c r="I14" s="72">
        <f>IF(AND(I$4&gt;=Tracker!$D17,I$4&lt;=Tracker!$E17),IF((I$4-Tracker!$D17+1)/(Tracker!$E17-Tracker!$D17+1)&lt;=Tracker!$J17+0.0001,2,1),0)</f>
        <v>0</v>
      </c>
      <c r="J14" s="72">
        <f>IF(AND(J$4&gt;=Tracker!$D17,J$4&lt;=Tracker!$E17),IF((J$4-Tracker!$D17+1)/(Tracker!$E17-Tracker!$D17+1)&lt;=Tracker!$J17+0.0001,2,1),0)</f>
        <v>0</v>
      </c>
      <c r="K14" s="72">
        <f>IF(AND(K$4&gt;=Tracker!$D17,K$4&lt;=Tracker!$E17),IF((K$4-Tracker!$D17+1)/(Tracker!$E17-Tracker!$D17+1)&lt;=Tracker!$J17+0.0001,2,1),0)</f>
        <v>0</v>
      </c>
      <c r="L14" s="72">
        <f>IF(AND(L$4&gt;=Tracker!$D17,L$4&lt;=Tracker!$E17),IF((L$4-Tracker!$D17+1)/(Tracker!$E17-Tracker!$D17+1)&lt;=Tracker!$J17+0.0001,2,1),0)</f>
        <v>0</v>
      </c>
      <c r="M14" s="72">
        <f>IF(AND(M$4&gt;=Tracker!$D17,M$4&lt;=Tracker!$E17),IF((M$4-Tracker!$D17+1)/(Tracker!$E17-Tracker!$D17+1)&lt;=Tracker!$J17+0.0001,2,1),0)</f>
        <v>0</v>
      </c>
      <c r="N14" s="72">
        <f>IF(AND(N$4&gt;=Tracker!$D17,N$4&lt;=Tracker!$E17),IF((N$4-Tracker!$D17+1)/(Tracker!$E17-Tracker!$D17+1)&lt;=Tracker!$J17+0.0001,2,1),0)</f>
        <v>0</v>
      </c>
      <c r="O14" s="72">
        <f>IF(AND(O$4&gt;=Tracker!$D17,O$4&lt;=Tracker!$E17),IF((O$4-Tracker!$D17+1)/(Tracker!$E17-Tracker!$D17+1)&lt;=Tracker!$J17+0.0001,2,1),0)</f>
        <v>0</v>
      </c>
      <c r="P14" s="49">
        <f>Tracker!J17</f>
        <v>0.5</v>
      </c>
    </row>
    <row r="15" ht="21.0" customHeight="1">
      <c r="A15" s="43" t="str">
        <f>Tracker!A18</f>
        <v>T10</v>
      </c>
      <c r="B15" s="71" t="str">
        <f>Tracker!C18</f>
        <v>Leave types, requests, approvals and balances</v>
      </c>
      <c r="C15" s="72">
        <f>IF(AND(C$4&gt;=Tracker!$D18,C$4&lt;=Tracker!$E18),IF((C$4-Tracker!$D18+1)/(Tracker!$E18-Tracker!$D18+1)&lt;=Tracker!$J18+0.0001,2,1),0)</f>
        <v>0</v>
      </c>
      <c r="D15" s="72">
        <f>IF(AND(D$4&gt;=Tracker!$D18,D$4&lt;=Tracker!$E18),IF((D$4-Tracker!$D18+1)/(Tracker!$E18-Tracker!$D18+1)&lt;=Tracker!$J18+0.0001,2,1),0)</f>
        <v>0</v>
      </c>
      <c r="E15" s="72">
        <f>IF(AND(E$4&gt;=Tracker!$D18,E$4&lt;=Tracker!$E18),IF((E$4-Tracker!$D18+1)/(Tracker!$E18-Tracker!$D18+1)&lt;=Tracker!$J18+0.0001,2,1),0)</f>
        <v>0</v>
      </c>
      <c r="F15" s="72">
        <f>IF(AND(F$4&gt;=Tracker!$D18,F$4&lt;=Tracker!$E18),IF((F$4-Tracker!$D18+1)/(Tracker!$E18-Tracker!$D18+1)&lt;=Tracker!$J18+0.0001,2,1),0)</f>
        <v>2</v>
      </c>
      <c r="G15" s="72">
        <f>IF(AND(G$4&gt;=Tracker!$D18,G$4&lt;=Tracker!$E18),IF((G$4-Tracker!$D18+1)/(Tracker!$E18-Tracker!$D18+1)&lt;=Tracker!$J18+0.0001,2,1),0)</f>
        <v>1</v>
      </c>
      <c r="H15" s="72">
        <f>IF(AND(H$4&gt;=Tracker!$D18,H$4&lt;=Tracker!$E18),IF((H$4-Tracker!$D18+1)/(Tracker!$E18-Tracker!$D18+1)&lt;=Tracker!$J18+0.0001,2,1),0)</f>
        <v>0</v>
      </c>
      <c r="I15" s="72">
        <f>IF(AND(I$4&gt;=Tracker!$D18,I$4&lt;=Tracker!$E18),IF((I$4-Tracker!$D18+1)/(Tracker!$E18-Tracker!$D18+1)&lt;=Tracker!$J18+0.0001,2,1),0)</f>
        <v>0</v>
      </c>
      <c r="J15" s="72">
        <f>IF(AND(J$4&gt;=Tracker!$D18,J$4&lt;=Tracker!$E18),IF((J$4-Tracker!$D18+1)/(Tracker!$E18-Tracker!$D18+1)&lt;=Tracker!$J18+0.0001,2,1),0)</f>
        <v>0</v>
      </c>
      <c r="K15" s="72">
        <f>IF(AND(K$4&gt;=Tracker!$D18,K$4&lt;=Tracker!$E18),IF((K$4-Tracker!$D18+1)/(Tracker!$E18-Tracker!$D18+1)&lt;=Tracker!$J18+0.0001,2,1),0)</f>
        <v>0</v>
      </c>
      <c r="L15" s="72">
        <f>IF(AND(L$4&gt;=Tracker!$D18,L$4&lt;=Tracker!$E18),IF((L$4-Tracker!$D18+1)/(Tracker!$E18-Tracker!$D18+1)&lt;=Tracker!$J18+0.0001,2,1),0)</f>
        <v>0</v>
      </c>
      <c r="M15" s="72">
        <f>IF(AND(M$4&gt;=Tracker!$D18,M$4&lt;=Tracker!$E18),IF((M$4-Tracker!$D18+1)/(Tracker!$E18-Tracker!$D18+1)&lt;=Tracker!$J18+0.0001,2,1),0)</f>
        <v>0</v>
      </c>
      <c r="N15" s="72">
        <f>IF(AND(N$4&gt;=Tracker!$D18,N$4&lt;=Tracker!$E18),IF((N$4-Tracker!$D18+1)/(Tracker!$E18-Tracker!$D18+1)&lt;=Tracker!$J18+0.0001,2,1),0)</f>
        <v>0</v>
      </c>
      <c r="O15" s="72">
        <f>IF(AND(O$4&gt;=Tracker!$D18,O$4&lt;=Tracker!$E18),IF((O$4-Tracker!$D18+1)/(Tracker!$E18-Tracker!$D18+1)&lt;=Tracker!$J18+0.0001,2,1),0)</f>
        <v>0</v>
      </c>
      <c r="P15" s="49">
        <f>Tracker!J18</f>
        <v>0.5</v>
      </c>
    </row>
    <row r="16" ht="21.0" customHeight="1">
      <c r="A16" s="43" t="str">
        <f>Tracker!A19</f>
        <v>T11</v>
      </c>
      <c r="B16" s="71" t="str">
        <f>Tracker!C19</f>
        <v>Overtime and night differential</v>
      </c>
      <c r="C16" s="72">
        <f>IF(AND(C$4&gt;=Tracker!$D19,C$4&lt;=Tracker!$E19),IF((C$4-Tracker!$D19+1)/(Tracker!$E19-Tracker!$D19+1)&lt;=Tracker!$J19+0.0001,2,1),0)</f>
        <v>0</v>
      </c>
      <c r="D16" s="72">
        <f>IF(AND(D$4&gt;=Tracker!$D19,D$4&lt;=Tracker!$E19),IF((D$4-Tracker!$D19+1)/(Tracker!$E19-Tracker!$D19+1)&lt;=Tracker!$J19+0.0001,2,1),0)</f>
        <v>0</v>
      </c>
      <c r="E16" s="72">
        <f>IF(AND(E$4&gt;=Tracker!$D19,E$4&lt;=Tracker!$E19),IF((E$4-Tracker!$D19+1)/(Tracker!$E19-Tracker!$D19+1)&lt;=Tracker!$J19+0.0001,2,1),0)</f>
        <v>0</v>
      </c>
      <c r="F16" s="72">
        <f>IF(AND(F$4&gt;=Tracker!$D19,F$4&lt;=Tracker!$E19),IF((F$4-Tracker!$D19+1)/(Tracker!$E19-Tracker!$D19+1)&lt;=Tracker!$J19+0.0001,2,1),0)</f>
        <v>2</v>
      </c>
      <c r="G16" s="72">
        <f>IF(AND(G$4&gt;=Tracker!$D19,G$4&lt;=Tracker!$E19),IF((G$4-Tracker!$D19+1)/(Tracker!$E19-Tracker!$D19+1)&lt;=Tracker!$J19+0.0001,2,1),0)</f>
        <v>1</v>
      </c>
      <c r="H16" s="72">
        <f>IF(AND(H$4&gt;=Tracker!$D19,H$4&lt;=Tracker!$E19),IF((H$4-Tracker!$D19+1)/(Tracker!$E19-Tracker!$D19+1)&lt;=Tracker!$J19+0.0001,2,1),0)</f>
        <v>0</v>
      </c>
      <c r="I16" s="72">
        <f>IF(AND(I$4&gt;=Tracker!$D19,I$4&lt;=Tracker!$E19),IF((I$4-Tracker!$D19+1)/(Tracker!$E19-Tracker!$D19+1)&lt;=Tracker!$J19+0.0001,2,1),0)</f>
        <v>0</v>
      </c>
      <c r="J16" s="72">
        <f>IF(AND(J$4&gt;=Tracker!$D19,J$4&lt;=Tracker!$E19),IF((J$4-Tracker!$D19+1)/(Tracker!$E19-Tracker!$D19+1)&lt;=Tracker!$J19+0.0001,2,1),0)</f>
        <v>0</v>
      </c>
      <c r="K16" s="72">
        <f>IF(AND(K$4&gt;=Tracker!$D19,K$4&lt;=Tracker!$E19),IF((K$4-Tracker!$D19+1)/(Tracker!$E19-Tracker!$D19+1)&lt;=Tracker!$J19+0.0001,2,1),0)</f>
        <v>0</v>
      </c>
      <c r="L16" s="72">
        <f>IF(AND(L$4&gt;=Tracker!$D19,L$4&lt;=Tracker!$E19),IF((L$4-Tracker!$D19+1)/(Tracker!$E19-Tracker!$D19+1)&lt;=Tracker!$J19+0.0001,2,1),0)</f>
        <v>0</v>
      </c>
      <c r="M16" s="72">
        <f>IF(AND(M$4&gt;=Tracker!$D19,M$4&lt;=Tracker!$E19),IF((M$4-Tracker!$D19+1)/(Tracker!$E19-Tracker!$D19+1)&lt;=Tracker!$J19+0.0001,2,1),0)</f>
        <v>0</v>
      </c>
      <c r="N16" s="72">
        <f>IF(AND(N$4&gt;=Tracker!$D19,N$4&lt;=Tracker!$E19),IF((N$4-Tracker!$D19+1)/(Tracker!$E19-Tracker!$D19+1)&lt;=Tracker!$J19+0.0001,2,1),0)</f>
        <v>0</v>
      </c>
      <c r="O16" s="72">
        <f>IF(AND(O$4&gt;=Tracker!$D19,O$4&lt;=Tracker!$E19),IF((O$4-Tracker!$D19+1)/(Tracker!$E19-Tracker!$D19+1)&lt;=Tracker!$J19+0.0001,2,1),0)</f>
        <v>0</v>
      </c>
      <c r="P16" s="49">
        <f>Tracker!J19</f>
        <v>0.5</v>
      </c>
    </row>
    <row r="17" ht="21.0" customHeight="1">
      <c r="A17" s="43" t="str">
        <f>Tracker!A20</f>
        <v>T12</v>
      </c>
      <c r="B17" s="71" t="str">
        <f>Tracker!C20</f>
        <v>Hourly and output compensation approvals</v>
      </c>
      <c r="C17" s="72">
        <f>IF(AND(C$4&gt;=Tracker!$D20,C$4&lt;=Tracker!$E20),IF((C$4-Tracker!$D20+1)/(Tracker!$E20-Tracker!$D20+1)&lt;=Tracker!$J20+0.0001,2,1),0)</f>
        <v>0</v>
      </c>
      <c r="D17" s="72">
        <f>IF(AND(D$4&gt;=Tracker!$D20,D$4&lt;=Tracker!$E20),IF((D$4-Tracker!$D20+1)/(Tracker!$E20-Tracker!$D20+1)&lt;=Tracker!$J20+0.0001,2,1),0)</f>
        <v>0</v>
      </c>
      <c r="E17" s="72">
        <f>IF(AND(E$4&gt;=Tracker!$D20,E$4&lt;=Tracker!$E20),IF((E$4-Tracker!$D20+1)/(Tracker!$E20-Tracker!$D20+1)&lt;=Tracker!$J20+0.0001,2,1),0)</f>
        <v>0</v>
      </c>
      <c r="F17" s="72">
        <f>IF(AND(F$4&gt;=Tracker!$D20,F$4&lt;=Tracker!$E20),IF((F$4-Tracker!$D20+1)/(Tracker!$E20-Tracker!$D20+1)&lt;=Tracker!$J20+0.0001,2,1),0)</f>
        <v>0</v>
      </c>
      <c r="G17" s="72">
        <f>IF(AND(G$4&gt;=Tracker!$D20,G$4&lt;=Tracker!$E20),IF((G$4-Tracker!$D20+1)/(Tracker!$E20-Tracker!$D20+1)&lt;=Tracker!$J20+0.0001,2,1),0)</f>
        <v>2</v>
      </c>
      <c r="H17" s="72">
        <f>IF(AND(H$4&gt;=Tracker!$D20,H$4&lt;=Tracker!$E20),IF((H$4-Tracker!$D20+1)/(Tracker!$E20-Tracker!$D20+1)&lt;=Tracker!$J20+0.0001,2,1),0)</f>
        <v>1</v>
      </c>
      <c r="I17" s="72">
        <f>IF(AND(I$4&gt;=Tracker!$D20,I$4&lt;=Tracker!$E20),IF((I$4-Tracker!$D20+1)/(Tracker!$E20-Tracker!$D20+1)&lt;=Tracker!$J20+0.0001,2,1),0)</f>
        <v>0</v>
      </c>
      <c r="J17" s="72">
        <f>IF(AND(J$4&gt;=Tracker!$D20,J$4&lt;=Tracker!$E20),IF((J$4-Tracker!$D20+1)/(Tracker!$E20-Tracker!$D20+1)&lt;=Tracker!$J20+0.0001,2,1),0)</f>
        <v>0</v>
      </c>
      <c r="K17" s="72">
        <f>IF(AND(K$4&gt;=Tracker!$D20,K$4&lt;=Tracker!$E20),IF((K$4-Tracker!$D20+1)/(Tracker!$E20-Tracker!$D20+1)&lt;=Tracker!$J20+0.0001,2,1),0)</f>
        <v>0</v>
      </c>
      <c r="L17" s="72">
        <f>IF(AND(L$4&gt;=Tracker!$D20,L$4&lt;=Tracker!$E20),IF((L$4-Tracker!$D20+1)/(Tracker!$E20-Tracker!$D20+1)&lt;=Tracker!$J20+0.0001,2,1),0)</f>
        <v>0</v>
      </c>
      <c r="M17" s="72">
        <f>IF(AND(M$4&gt;=Tracker!$D20,M$4&lt;=Tracker!$E20),IF((M$4-Tracker!$D20+1)/(Tracker!$E20-Tracker!$D20+1)&lt;=Tracker!$J20+0.0001,2,1),0)</f>
        <v>0</v>
      </c>
      <c r="N17" s="72">
        <f>IF(AND(N$4&gt;=Tracker!$D20,N$4&lt;=Tracker!$E20),IF((N$4-Tracker!$D20+1)/(Tracker!$E20-Tracker!$D20+1)&lt;=Tracker!$J20+0.0001,2,1),0)</f>
        <v>0</v>
      </c>
      <c r="O17" s="72">
        <f>IF(AND(O$4&gt;=Tracker!$D20,O$4&lt;=Tracker!$E20),IF((O$4-Tracker!$D20+1)/(Tracker!$E20-Tracker!$D20+1)&lt;=Tracker!$J20+0.0001,2,1),0)</f>
        <v>0</v>
      </c>
      <c r="P17" s="49">
        <f>Tracker!J20</f>
        <v>0.5</v>
      </c>
    </row>
    <row r="18" ht="21.0" customHeight="1">
      <c r="A18" s="43" t="str">
        <f>Tracker!A21</f>
        <v>T13</v>
      </c>
      <c r="B18" s="71" t="str">
        <f>Tracker!C21</f>
        <v>Benefits, loans and deductions</v>
      </c>
      <c r="C18" s="72">
        <f>IF(AND(C$4&gt;=Tracker!$D21,C$4&lt;=Tracker!$E21),IF((C$4-Tracker!$D21+1)/(Tracker!$E21-Tracker!$D21+1)&lt;=Tracker!$J21+0.0001,2,1),0)</f>
        <v>0</v>
      </c>
      <c r="D18" s="72">
        <f>IF(AND(D$4&gt;=Tracker!$D21,D$4&lt;=Tracker!$E21),IF((D$4-Tracker!$D21+1)/(Tracker!$E21-Tracker!$D21+1)&lt;=Tracker!$J21+0.0001,2,1),0)</f>
        <v>0</v>
      </c>
      <c r="E18" s="72">
        <f>IF(AND(E$4&gt;=Tracker!$D21,E$4&lt;=Tracker!$E21),IF((E$4-Tracker!$D21+1)/(Tracker!$E21-Tracker!$D21+1)&lt;=Tracker!$J21+0.0001,2,1),0)</f>
        <v>0</v>
      </c>
      <c r="F18" s="72">
        <f>IF(AND(F$4&gt;=Tracker!$D21,F$4&lt;=Tracker!$E21),IF((F$4-Tracker!$D21+1)/(Tracker!$E21-Tracker!$D21+1)&lt;=Tracker!$J21+0.0001,2,1),0)</f>
        <v>0</v>
      </c>
      <c r="G18" s="72">
        <f>IF(AND(G$4&gt;=Tracker!$D21,G$4&lt;=Tracker!$E21),IF((G$4-Tracker!$D21+1)/(Tracker!$E21-Tracker!$D21+1)&lt;=Tracker!$J21+0.0001,2,1),0)</f>
        <v>2</v>
      </c>
      <c r="H18" s="72">
        <f>IF(AND(H$4&gt;=Tracker!$D21,H$4&lt;=Tracker!$E21),IF((H$4-Tracker!$D21+1)/(Tracker!$E21-Tracker!$D21+1)&lt;=Tracker!$J21+0.0001,2,1),0)</f>
        <v>1</v>
      </c>
      <c r="I18" s="72">
        <f>IF(AND(I$4&gt;=Tracker!$D21,I$4&lt;=Tracker!$E21),IF((I$4-Tracker!$D21+1)/(Tracker!$E21-Tracker!$D21+1)&lt;=Tracker!$J21+0.0001,2,1),0)</f>
        <v>0</v>
      </c>
      <c r="J18" s="72">
        <f>IF(AND(J$4&gt;=Tracker!$D21,J$4&lt;=Tracker!$E21),IF((J$4-Tracker!$D21+1)/(Tracker!$E21-Tracker!$D21+1)&lt;=Tracker!$J21+0.0001,2,1),0)</f>
        <v>0</v>
      </c>
      <c r="K18" s="72">
        <f>IF(AND(K$4&gt;=Tracker!$D21,K$4&lt;=Tracker!$E21),IF((K$4-Tracker!$D21+1)/(Tracker!$E21-Tracker!$D21+1)&lt;=Tracker!$J21+0.0001,2,1),0)</f>
        <v>0</v>
      </c>
      <c r="L18" s="72">
        <f>IF(AND(L$4&gt;=Tracker!$D21,L$4&lt;=Tracker!$E21),IF((L$4-Tracker!$D21+1)/(Tracker!$E21-Tracker!$D21+1)&lt;=Tracker!$J21+0.0001,2,1),0)</f>
        <v>0</v>
      </c>
      <c r="M18" s="72">
        <f>IF(AND(M$4&gt;=Tracker!$D21,M$4&lt;=Tracker!$E21),IF((M$4-Tracker!$D21+1)/(Tracker!$E21-Tracker!$D21+1)&lt;=Tracker!$J21+0.0001,2,1),0)</f>
        <v>0</v>
      </c>
      <c r="N18" s="72">
        <f>IF(AND(N$4&gt;=Tracker!$D21,N$4&lt;=Tracker!$E21),IF((N$4-Tracker!$D21+1)/(Tracker!$E21-Tracker!$D21+1)&lt;=Tracker!$J21+0.0001,2,1),0)</f>
        <v>0</v>
      </c>
      <c r="O18" s="72">
        <f>IF(AND(O$4&gt;=Tracker!$D21,O$4&lt;=Tracker!$E21),IF((O$4-Tracker!$D21+1)/(Tracker!$E21-Tracker!$D21+1)&lt;=Tracker!$J21+0.0001,2,1),0)</f>
        <v>0</v>
      </c>
      <c r="P18" s="49">
        <f>Tracker!J21</f>
        <v>0.5</v>
      </c>
    </row>
    <row r="19" ht="21.0" customHeight="1">
      <c r="A19" s="43" t="str">
        <f>Tracker!A22</f>
        <v>T14</v>
      </c>
      <c r="B19" s="71" t="str">
        <f>Tracker!C22</f>
        <v>Payroll computation, runs and approvals</v>
      </c>
      <c r="C19" s="72">
        <f>IF(AND(C$4&gt;=Tracker!$D22,C$4&lt;=Tracker!$E22),IF((C$4-Tracker!$D22+1)/(Tracker!$E22-Tracker!$D22+1)&lt;=Tracker!$J22+0.0001,2,1),0)</f>
        <v>0</v>
      </c>
      <c r="D19" s="72">
        <f>IF(AND(D$4&gt;=Tracker!$D22,D$4&lt;=Tracker!$E22),IF((D$4-Tracker!$D22+1)/(Tracker!$E22-Tracker!$D22+1)&lt;=Tracker!$J22+0.0001,2,1),0)</f>
        <v>0</v>
      </c>
      <c r="E19" s="72">
        <f>IF(AND(E$4&gt;=Tracker!$D22,E$4&lt;=Tracker!$E22),IF((E$4-Tracker!$D22+1)/(Tracker!$E22-Tracker!$D22+1)&lt;=Tracker!$J22+0.0001,2,1),0)</f>
        <v>0</v>
      </c>
      <c r="F19" s="72">
        <f>IF(AND(F$4&gt;=Tracker!$D22,F$4&lt;=Tracker!$E22),IF((F$4-Tracker!$D22+1)/(Tracker!$E22-Tracker!$D22+1)&lt;=Tracker!$J22+0.0001,2,1),0)</f>
        <v>0</v>
      </c>
      <c r="G19" s="72">
        <f>IF(AND(G$4&gt;=Tracker!$D22,G$4&lt;=Tracker!$E22),IF((G$4-Tracker!$D22+1)/(Tracker!$E22-Tracker!$D22+1)&lt;=Tracker!$J22+0.0001,2,1),0)</f>
        <v>2</v>
      </c>
      <c r="H19" s="72">
        <f>IF(AND(H$4&gt;=Tracker!$D22,H$4&lt;=Tracker!$E22),IF((H$4-Tracker!$D22+1)/(Tracker!$E22-Tracker!$D22+1)&lt;=Tracker!$J22+0.0001,2,1),0)</f>
        <v>2</v>
      </c>
      <c r="I19" s="72">
        <f>IF(AND(I$4&gt;=Tracker!$D22,I$4&lt;=Tracker!$E22),IF((I$4-Tracker!$D22+1)/(Tracker!$E22-Tracker!$D22+1)&lt;=Tracker!$J22+0.0001,2,1),0)</f>
        <v>1</v>
      </c>
      <c r="J19" s="72">
        <f>IF(AND(J$4&gt;=Tracker!$D22,J$4&lt;=Tracker!$E22),IF((J$4-Tracker!$D22+1)/(Tracker!$E22-Tracker!$D22+1)&lt;=Tracker!$J22+0.0001,2,1),0)</f>
        <v>1</v>
      </c>
      <c r="K19" s="72">
        <f>IF(AND(K$4&gt;=Tracker!$D22,K$4&lt;=Tracker!$E22),IF((K$4-Tracker!$D22+1)/(Tracker!$E22-Tracker!$D22+1)&lt;=Tracker!$J22+0.0001,2,1),0)</f>
        <v>0</v>
      </c>
      <c r="L19" s="72">
        <f>IF(AND(L$4&gt;=Tracker!$D22,L$4&lt;=Tracker!$E22),IF((L$4-Tracker!$D22+1)/(Tracker!$E22-Tracker!$D22+1)&lt;=Tracker!$J22+0.0001,2,1),0)</f>
        <v>0</v>
      </c>
      <c r="M19" s="72">
        <f>IF(AND(M$4&gt;=Tracker!$D22,M$4&lt;=Tracker!$E22),IF((M$4-Tracker!$D22+1)/(Tracker!$E22-Tracker!$D22+1)&lt;=Tracker!$J22+0.0001,2,1),0)</f>
        <v>0</v>
      </c>
      <c r="N19" s="72">
        <f>IF(AND(N$4&gt;=Tracker!$D22,N$4&lt;=Tracker!$E22),IF((N$4-Tracker!$D22+1)/(Tracker!$E22-Tracker!$D22+1)&lt;=Tracker!$J22+0.0001,2,1),0)</f>
        <v>0</v>
      </c>
      <c r="O19" s="72">
        <f>IF(AND(O$4&gt;=Tracker!$D22,O$4&lt;=Tracker!$E22),IF((O$4-Tracker!$D22+1)/(Tracker!$E22-Tracker!$D22+1)&lt;=Tracker!$J22+0.0001,2,1),0)</f>
        <v>0</v>
      </c>
      <c r="P19" s="49">
        <f>Tracker!J22</f>
        <v>0.5</v>
      </c>
    </row>
    <row r="20" ht="21.0" customHeight="1">
      <c r="A20" s="43" t="str">
        <f>Tracker!A23</f>
        <v>T15</v>
      </c>
      <c r="B20" s="71" t="str">
        <f>Tracker!C23</f>
        <v>Payslips (admin and employee views, email)</v>
      </c>
      <c r="C20" s="72">
        <f>IF(AND(C$4&gt;=Tracker!$D23,C$4&lt;=Tracker!$E23),IF((C$4-Tracker!$D23+1)/(Tracker!$E23-Tracker!$D23+1)&lt;=Tracker!$J23+0.0001,2,1),0)</f>
        <v>0</v>
      </c>
      <c r="D20" s="72">
        <f>IF(AND(D$4&gt;=Tracker!$D23,D$4&lt;=Tracker!$E23),IF((D$4-Tracker!$D23+1)/(Tracker!$E23-Tracker!$D23+1)&lt;=Tracker!$J23+0.0001,2,1),0)</f>
        <v>0</v>
      </c>
      <c r="E20" s="72">
        <f>IF(AND(E$4&gt;=Tracker!$D23,E$4&lt;=Tracker!$E23),IF((E$4-Tracker!$D23+1)/(Tracker!$E23-Tracker!$D23+1)&lt;=Tracker!$J23+0.0001,2,1),0)</f>
        <v>0</v>
      </c>
      <c r="F20" s="72">
        <f>IF(AND(F$4&gt;=Tracker!$D23,F$4&lt;=Tracker!$E23),IF((F$4-Tracker!$D23+1)/(Tracker!$E23-Tracker!$D23+1)&lt;=Tracker!$J23+0.0001,2,1),0)</f>
        <v>0</v>
      </c>
      <c r="G20" s="72">
        <f>IF(AND(G$4&gt;=Tracker!$D23,G$4&lt;=Tracker!$E23),IF((G$4-Tracker!$D23+1)/(Tracker!$E23-Tracker!$D23+1)&lt;=Tracker!$J23+0.0001,2,1),0)</f>
        <v>0</v>
      </c>
      <c r="H20" s="72">
        <f>IF(AND(H$4&gt;=Tracker!$D23,H$4&lt;=Tracker!$E23),IF((H$4-Tracker!$D23+1)/(Tracker!$E23-Tracker!$D23+1)&lt;=Tracker!$J23+0.0001,2,1),0)</f>
        <v>0</v>
      </c>
      <c r="I20" s="72">
        <f>IF(AND(I$4&gt;=Tracker!$D23,I$4&lt;=Tracker!$E23),IF((I$4-Tracker!$D23+1)/(Tracker!$E23-Tracker!$D23+1)&lt;=Tracker!$J23+0.0001,2,1),0)</f>
        <v>2</v>
      </c>
      <c r="J20" s="72">
        <f>IF(AND(J$4&gt;=Tracker!$D23,J$4&lt;=Tracker!$E23),IF((J$4-Tracker!$D23+1)/(Tracker!$E23-Tracker!$D23+1)&lt;=Tracker!$J23+0.0001,2,1),0)</f>
        <v>1</v>
      </c>
      <c r="K20" s="72">
        <f>IF(AND(K$4&gt;=Tracker!$D23,K$4&lt;=Tracker!$E23),IF((K$4-Tracker!$D23+1)/(Tracker!$E23-Tracker!$D23+1)&lt;=Tracker!$J23+0.0001,2,1),0)</f>
        <v>0</v>
      </c>
      <c r="L20" s="72">
        <f>IF(AND(L$4&gt;=Tracker!$D23,L$4&lt;=Tracker!$E23),IF((L$4-Tracker!$D23+1)/(Tracker!$E23-Tracker!$D23+1)&lt;=Tracker!$J23+0.0001,2,1),0)</f>
        <v>0</v>
      </c>
      <c r="M20" s="72">
        <f>IF(AND(M$4&gt;=Tracker!$D23,M$4&lt;=Tracker!$E23),IF((M$4-Tracker!$D23+1)/(Tracker!$E23-Tracker!$D23+1)&lt;=Tracker!$J23+0.0001,2,1),0)</f>
        <v>0</v>
      </c>
      <c r="N20" s="72">
        <f>IF(AND(N$4&gt;=Tracker!$D23,N$4&lt;=Tracker!$E23),IF((N$4-Tracker!$D23+1)/(Tracker!$E23-Tracker!$D23+1)&lt;=Tracker!$J23+0.0001,2,1),0)</f>
        <v>0</v>
      </c>
      <c r="O20" s="72">
        <f>IF(AND(O$4&gt;=Tracker!$D23,O$4&lt;=Tracker!$E23),IF((O$4-Tracker!$D23+1)/(Tracker!$E23-Tracker!$D23+1)&lt;=Tracker!$J23+0.0001,2,1),0)</f>
        <v>0</v>
      </c>
      <c r="P20" s="49">
        <f>Tracker!J23</f>
        <v>0.5</v>
      </c>
    </row>
    <row r="21" ht="21.0" customHeight="1">
      <c r="A21" s="43" t="str">
        <f>Tracker!A24</f>
        <v>T16</v>
      </c>
      <c r="B21" s="71" t="str">
        <f>Tracker!C24</f>
        <v>Bonuses, incentives and 13th month pay</v>
      </c>
      <c r="C21" s="72">
        <f>IF(AND(C$4&gt;=Tracker!$D24,C$4&lt;=Tracker!$E24),IF((C$4-Tracker!$D24+1)/(Tracker!$E24-Tracker!$D24+1)&lt;=Tracker!$J24+0.0001,2,1),0)</f>
        <v>0</v>
      </c>
      <c r="D21" s="72">
        <f>IF(AND(D$4&gt;=Tracker!$D24,D$4&lt;=Tracker!$E24),IF((D$4-Tracker!$D24+1)/(Tracker!$E24-Tracker!$D24+1)&lt;=Tracker!$J24+0.0001,2,1),0)</f>
        <v>0</v>
      </c>
      <c r="E21" s="72">
        <f>IF(AND(E$4&gt;=Tracker!$D24,E$4&lt;=Tracker!$E24),IF((E$4-Tracker!$D24+1)/(Tracker!$E24-Tracker!$D24+1)&lt;=Tracker!$J24+0.0001,2,1),0)</f>
        <v>0</v>
      </c>
      <c r="F21" s="72">
        <f>IF(AND(F$4&gt;=Tracker!$D24,F$4&lt;=Tracker!$E24),IF((F$4-Tracker!$D24+1)/(Tracker!$E24-Tracker!$D24+1)&lt;=Tracker!$J24+0.0001,2,1),0)</f>
        <v>0</v>
      </c>
      <c r="G21" s="72">
        <f>IF(AND(G$4&gt;=Tracker!$D24,G$4&lt;=Tracker!$E24),IF((G$4-Tracker!$D24+1)/(Tracker!$E24-Tracker!$D24+1)&lt;=Tracker!$J24+0.0001,2,1),0)</f>
        <v>0</v>
      </c>
      <c r="H21" s="72">
        <f>IF(AND(H$4&gt;=Tracker!$D24,H$4&lt;=Tracker!$E24),IF((H$4-Tracker!$D24+1)/(Tracker!$E24-Tracker!$D24+1)&lt;=Tracker!$J24+0.0001,2,1),0)</f>
        <v>0</v>
      </c>
      <c r="I21" s="72">
        <f>IF(AND(I$4&gt;=Tracker!$D24,I$4&lt;=Tracker!$E24),IF((I$4-Tracker!$D24+1)/(Tracker!$E24-Tracker!$D24+1)&lt;=Tracker!$J24+0.0001,2,1),0)</f>
        <v>2</v>
      </c>
      <c r="J21" s="72">
        <f>IF(AND(J$4&gt;=Tracker!$D24,J$4&lt;=Tracker!$E24),IF((J$4-Tracker!$D24+1)/(Tracker!$E24-Tracker!$D24+1)&lt;=Tracker!$J24+0.0001,2,1),0)</f>
        <v>1</v>
      </c>
      <c r="K21" s="72">
        <f>IF(AND(K$4&gt;=Tracker!$D24,K$4&lt;=Tracker!$E24),IF((K$4-Tracker!$D24+1)/(Tracker!$E24-Tracker!$D24+1)&lt;=Tracker!$J24+0.0001,2,1),0)</f>
        <v>0</v>
      </c>
      <c r="L21" s="72">
        <f>IF(AND(L$4&gt;=Tracker!$D24,L$4&lt;=Tracker!$E24),IF((L$4-Tracker!$D24+1)/(Tracker!$E24-Tracker!$D24+1)&lt;=Tracker!$J24+0.0001,2,1),0)</f>
        <v>0</v>
      </c>
      <c r="M21" s="72">
        <f>IF(AND(M$4&gt;=Tracker!$D24,M$4&lt;=Tracker!$E24),IF((M$4-Tracker!$D24+1)/(Tracker!$E24-Tracker!$D24+1)&lt;=Tracker!$J24+0.0001,2,1),0)</f>
        <v>0</v>
      </c>
      <c r="N21" s="72">
        <f>IF(AND(N$4&gt;=Tracker!$D24,N$4&lt;=Tracker!$E24),IF((N$4-Tracker!$D24+1)/(Tracker!$E24-Tracker!$D24+1)&lt;=Tracker!$J24+0.0001,2,1),0)</f>
        <v>0</v>
      </c>
      <c r="O21" s="72">
        <f>IF(AND(O$4&gt;=Tracker!$D24,O$4&lt;=Tracker!$E24),IF((O$4-Tracker!$D24+1)/(Tracker!$E24-Tracker!$D24+1)&lt;=Tracker!$J24+0.0001,2,1),0)</f>
        <v>0</v>
      </c>
      <c r="P21" s="49">
        <f>Tracker!J24</f>
        <v>0.5</v>
      </c>
    </row>
    <row r="22" ht="21.0" customHeight="1">
      <c r="A22" s="43" t="str">
        <f>Tracker!A25</f>
        <v>T17</v>
      </c>
      <c r="B22" s="71" t="str">
        <f>Tracker!C25</f>
        <v>Statutory contributions and withholding tax</v>
      </c>
      <c r="C22" s="72">
        <f>IF(AND(C$4&gt;=Tracker!$D25,C$4&lt;=Tracker!$E25),IF((C$4-Tracker!$D25+1)/(Tracker!$E25-Tracker!$D25+1)&lt;=Tracker!$J25+0.0001,2,1),0)</f>
        <v>0</v>
      </c>
      <c r="D22" s="72">
        <f>IF(AND(D$4&gt;=Tracker!$D25,D$4&lt;=Tracker!$E25),IF((D$4-Tracker!$D25+1)/(Tracker!$E25-Tracker!$D25+1)&lt;=Tracker!$J25+0.0001,2,1),0)</f>
        <v>0</v>
      </c>
      <c r="E22" s="72">
        <f>IF(AND(E$4&gt;=Tracker!$D25,E$4&lt;=Tracker!$E25),IF((E$4-Tracker!$D25+1)/(Tracker!$E25-Tracker!$D25+1)&lt;=Tracker!$J25+0.0001,2,1),0)</f>
        <v>0</v>
      </c>
      <c r="F22" s="72">
        <f>IF(AND(F$4&gt;=Tracker!$D25,F$4&lt;=Tracker!$E25),IF((F$4-Tracker!$D25+1)/(Tracker!$E25-Tracker!$D25+1)&lt;=Tracker!$J25+0.0001,2,1),0)</f>
        <v>0</v>
      </c>
      <c r="G22" s="72">
        <f>IF(AND(G$4&gt;=Tracker!$D25,G$4&lt;=Tracker!$E25),IF((G$4-Tracker!$D25+1)/(Tracker!$E25-Tracker!$D25+1)&lt;=Tracker!$J25+0.0001,2,1),0)</f>
        <v>0</v>
      </c>
      <c r="H22" s="72">
        <f>IF(AND(H$4&gt;=Tracker!$D25,H$4&lt;=Tracker!$E25),IF((H$4-Tracker!$D25+1)/(Tracker!$E25-Tracker!$D25+1)&lt;=Tracker!$J25+0.0001,2,1),0)</f>
        <v>2</v>
      </c>
      <c r="I22" s="72">
        <f>IF(AND(I$4&gt;=Tracker!$D25,I$4&lt;=Tracker!$E25),IF((I$4-Tracker!$D25+1)/(Tracker!$E25-Tracker!$D25+1)&lt;=Tracker!$J25+0.0001,2,1),0)</f>
        <v>1</v>
      </c>
      <c r="J22" s="72">
        <f>IF(AND(J$4&gt;=Tracker!$D25,J$4&lt;=Tracker!$E25),IF((J$4-Tracker!$D25+1)/(Tracker!$E25-Tracker!$D25+1)&lt;=Tracker!$J25+0.0001,2,1),0)</f>
        <v>1</v>
      </c>
      <c r="K22" s="72">
        <f>IF(AND(K$4&gt;=Tracker!$D25,K$4&lt;=Tracker!$E25),IF((K$4-Tracker!$D25+1)/(Tracker!$E25-Tracker!$D25+1)&lt;=Tracker!$J25+0.0001,2,1),0)</f>
        <v>0</v>
      </c>
      <c r="L22" s="72">
        <f>IF(AND(L$4&gt;=Tracker!$D25,L$4&lt;=Tracker!$E25),IF((L$4-Tracker!$D25+1)/(Tracker!$E25-Tracker!$D25+1)&lt;=Tracker!$J25+0.0001,2,1),0)</f>
        <v>0</v>
      </c>
      <c r="M22" s="72">
        <f>IF(AND(M$4&gt;=Tracker!$D25,M$4&lt;=Tracker!$E25),IF((M$4-Tracker!$D25+1)/(Tracker!$E25-Tracker!$D25+1)&lt;=Tracker!$J25+0.0001,2,1),0)</f>
        <v>0</v>
      </c>
      <c r="N22" s="72">
        <f>IF(AND(N$4&gt;=Tracker!$D25,N$4&lt;=Tracker!$E25),IF((N$4-Tracker!$D25+1)/(Tracker!$E25-Tracker!$D25+1)&lt;=Tracker!$J25+0.0001,2,1),0)</f>
        <v>0</v>
      </c>
      <c r="O22" s="72">
        <f>IF(AND(O$4&gt;=Tracker!$D25,O$4&lt;=Tracker!$E25),IF((O$4-Tracker!$D25+1)/(Tracker!$E25-Tracker!$D25+1)&lt;=Tracker!$J25+0.0001,2,1),0)</f>
        <v>0</v>
      </c>
      <c r="P22" s="49">
        <f>Tracker!J25</f>
        <v>0.5</v>
      </c>
    </row>
    <row r="23" ht="21.0" customHeight="1">
      <c r="A23" s="43" t="str">
        <f>Tracker!A26</f>
        <v>T18</v>
      </c>
      <c r="B23" s="71" t="str">
        <f>Tracker!C26</f>
        <v>Reports, dashboard and notifications</v>
      </c>
      <c r="C23" s="72">
        <f>IF(AND(C$4&gt;=Tracker!$D26,C$4&lt;=Tracker!$E26),IF((C$4-Tracker!$D26+1)/(Tracker!$E26-Tracker!$D26+1)&lt;=Tracker!$J26+0.0001,2,1),0)</f>
        <v>0</v>
      </c>
      <c r="D23" s="72">
        <f>IF(AND(D$4&gt;=Tracker!$D26,D$4&lt;=Tracker!$E26),IF((D$4-Tracker!$D26+1)/(Tracker!$E26-Tracker!$D26+1)&lt;=Tracker!$J26+0.0001,2,1),0)</f>
        <v>0</v>
      </c>
      <c r="E23" s="72">
        <f>IF(AND(E$4&gt;=Tracker!$D26,E$4&lt;=Tracker!$E26),IF((E$4-Tracker!$D26+1)/(Tracker!$E26-Tracker!$D26+1)&lt;=Tracker!$J26+0.0001,2,1),0)</f>
        <v>0</v>
      </c>
      <c r="F23" s="72">
        <f>IF(AND(F$4&gt;=Tracker!$D26,F$4&lt;=Tracker!$E26),IF((F$4-Tracker!$D26+1)/(Tracker!$E26-Tracker!$D26+1)&lt;=Tracker!$J26+0.0001,2,1),0)</f>
        <v>0</v>
      </c>
      <c r="G23" s="72">
        <f>IF(AND(G$4&gt;=Tracker!$D26,G$4&lt;=Tracker!$E26),IF((G$4-Tracker!$D26+1)/(Tracker!$E26-Tracker!$D26+1)&lt;=Tracker!$J26+0.0001,2,1),0)</f>
        <v>0</v>
      </c>
      <c r="H23" s="72">
        <f>IF(AND(H$4&gt;=Tracker!$D26,H$4&lt;=Tracker!$E26),IF((H$4-Tracker!$D26+1)/(Tracker!$E26-Tracker!$D26+1)&lt;=Tracker!$J26+0.0001,2,1),0)</f>
        <v>0</v>
      </c>
      <c r="I23" s="72">
        <f>IF(AND(I$4&gt;=Tracker!$D26,I$4&lt;=Tracker!$E26),IF((I$4-Tracker!$D26+1)/(Tracker!$E26-Tracker!$D26+1)&lt;=Tracker!$J26+0.0001,2,1),0)</f>
        <v>0</v>
      </c>
      <c r="J23" s="72">
        <f>IF(AND(J$4&gt;=Tracker!$D26,J$4&lt;=Tracker!$E26),IF((J$4-Tracker!$D26+1)/(Tracker!$E26-Tracker!$D26+1)&lt;=Tracker!$J26+0.0001,2,1),0)</f>
        <v>2</v>
      </c>
      <c r="K23" s="72">
        <f>IF(AND(K$4&gt;=Tracker!$D26,K$4&lt;=Tracker!$E26),IF((K$4-Tracker!$D26+1)/(Tracker!$E26-Tracker!$D26+1)&lt;=Tracker!$J26+0.0001,2,1),0)</f>
        <v>1</v>
      </c>
      <c r="L23" s="72">
        <f>IF(AND(L$4&gt;=Tracker!$D26,L$4&lt;=Tracker!$E26),IF((L$4-Tracker!$D26+1)/(Tracker!$E26-Tracker!$D26+1)&lt;=Tracker!$J26+0.0001,2,1),0)</f>
        <v>0</v>
      </c>
      <c r="M23" s="72">
        <f>IF(AND(M$4&gt;=Tracker!$D26,M$4&lt;=Tracker!$E26),IF((M$4-Tracker!$D26+1)/(Tracker!$E26-Tracker!$D26+1)&lt;=Tracker!$J26+0.0001,2,1),0)</f>
        <v>0</v>
      </c>
      <c r="N23" s="72">
        <f>IF(AND(N$4&gt;=Tracker!$D26,N$4&lt;=Tracker!$E26),IF((N$4-Tracker!$D26+1)/(Tracker!$E26-Tracker!$D26+1)&lt;=Tracker!$J26+0.0001,2,1),0)</f>
        <v>0</v>
      </c>
      <c r="O23" s="72">
        <f>IF(AND(O$4&gt;=Tracker!$D26,O$4&lt;=Tracker!$E26),IF((O$4-Tracker!$D26+1)/(Tracker!$E26-Tracker!$D26+1)&lt;=Tracker!$J26+0.0001,2,1),0)</f>
        <v>0</v>
      </c>
      <c r="P23" s="49">
        <f>Tracker!J26</f>
        <v>0.5</v>
      </c>
    </row>
    <row r="24" ht="21.0" customHeight="1">
      <c r="A24" s="43" t="str">
        <f>Tracker!A27</f>
        <v>T19</v>
      </c>
      <c r="B24" s="71" t="str">
        <f>Tracker!C27</f>
        <v>Employee and Manager self-service (ESS)</v>
      </c>
      <c r="C24" s="72">
        <f>IF(AND(C$4&gt;=Tracker!$D27,C$4&lt;=Tracker!$E27),IF((C$4-Tracker!$D27+1)/(Tracker!$E27-Tracker!$D27+1)&lt;=Tracker!$J27+0.0001,2,1),0)</f>
        <v>0</v>
      </c>
      <c r="D24" s="72">
        <f>IF(AND(D$4&gt;=Tracker!$D27,D$4&lt;=Tracker!$E27),IF((D$4-Tracker!$D27+1)/(Tracker!$E27-Tracker!$D27+1)&lt;=Tracker!$J27+0.0001,2,1),0)</f>
        <v>0</v>
      </c>
      <c r="E24" s="72">
        <f>IF(AND(E$4&gt;=Tracker!$D27,E$4&lt;=Tracker!$E27),IF((E$4-Tracker!$D27+1)/(Tracker!$E27-Tracker!$D27+1)&lt;=Tracker!$J27+0.0001,2,1),0)</f>
        <v>0</v>
      </c>
      <c r="F24" s="72">
        <f>IF(AND(F$4&gt;=Tracker!$D27,F$4&lt;=Tracker!$E27),IF((F$4-Tracker!$D27+1)/(Tracker!$E27-Tracker!$D27+1)&lt;=Tracker!$J27+0.0001,2,1),0)</f>
        <v>0</v>
      </c>
      <c r="G24" s="72">
        <f>IF(AND(G$4&gt;=Tracker!$D27,G$4&lt;=Tracker!$E27),IF((G$4-Tracker!$D27+1)/(Tracker!$E27-Tracker!$D27+1)&lt;=Tracker!$J27+0.0001,2,1),0)</f>
        <v>0</v>
      </c>
      <c r="H24" s="72">
        <f>IF(AND(H$4&gt;=Tracker!$D27,H$4&lt;=Tracker!$E27),IF((H$4-Tracker!$D27+1)/(Tracker!$E27-Tracker!$D27+1)&lt;=Tracker!$J27+0.0001,2,1),0)</f>
        <v>2</v>
      </c>
      <c r="I24" s="72">
        <f>IF(AND(I$4&gt;=Tracker!$D27,I$4&lt;=Tracker!$E27),IF((I$4-Tracker!$D27+1)/(Tracker!$E27-Tracker!$D27+1)&lt;=Tracker!$J27+0.0001,2,1),0)</f>
        <v>1</v>
      </c>
      <c r="J24" s="72">
        <f>IF(AND(J$4&gt;=Tracker!$D27,J$4&lt;=Tracker!$E27),IF((J$4-Tracker!$D27+1)/(Tracker!$E27-Tracker!$D27+1)&lt;=Tracker!$J27+0.0001,2,1),0)</f>
        <v>1</v>
      </c>
      <c r="K24" s="72">
        <f>IF(AND(K$4&gt;=Tracker!$D27,K$4&lt;=Tracker!$E27),IF((K$4-Tracker!$D27+1)/(Tracker!$E27-Tracker!$D27+1)&lt;=Tracker!$J27+0.0001,2,1),0)</f>
        <v>0</v>
      </c>
      <c r="L24" s="72">
        <f>IF(AND(L$4&gt;=Tracker!$D27,L$4&lt;=Tracker!$E27),IF((L$4-Tracker!$D27+1)/(Tracker!$E27-Tracker!$D27+1)&lt;=Tracker!$J27+0.0001,2,1),0)</f>
        <v>0</v>
      </c>
      <c r="M24" s="72">
        <f>IF(AND(M$4&gt;=Tracker!$D27,M$4&lt;=Tracker!$E27),IF((M$4-Tracker!$D27+1)/(Tracker!$E27-Tracker!$D27+1)&lt;=Tracker!$J27+0.0001,2,1),0)</f>
        <v>0</v>
      </c>
      <c r="N24" s="72">
        <f>IF(AND(N$4&gt;=Tracker!$D27,N$4&lt;=Tracker!$E27),IF((N$4-Tracker!$D27+1)/(Tracker!$E27-Tracker!$D27+1)&lt;=Tracker!$J27+0.0001,2,1),0)</f>
        <v>0</v>
      </c>
      <c r="O24" s="72">
        <f>IF(AND(O$4&gt;=Tracker!$D27,O$4&lt;=Tracker!$E27),IF((O$4-Tracker!$D27+1)/(Tracker!$E27-Tracker!$D27+1)&lt;=Tracker!$J27+0.0001,2,1),0)</f>
        <v>0</v>
      </c>
      <c r="P24" s="49">
        <f>Tracker!J27</f>
        <v>0.5</v>
      </c>
    </row>
    <row r="25" ht="21.0" customHeight="1">
      <c r="A25" s="43" t="str">
        <f>Tracker!A28</f>
        <v>T20</v>
      </c>
      <c r="B25" s="71" t="str">
        <f>Tracker!C28</f>
        <v>Super Admin: companies, subscription, plans</v>
      </c>
      <c r="C25" s="72">
        <f>IF(AND(C$4&gt;=Tracker!$D28,C$4&lt;=Tracker!$E28),IF((C$4-Tracker!$D28+1)/(Tracker!$E28-Tracker!$D28+1)&lt;=Tracker!$J28+0.0001,2,1),0)</f>
        <v>0</v>
      </c>
      <c r="D25" s="72">
        <f>IF(AND(D$4&gt;=Tracker!$D28,D$4&lt;=Tracker!$E28),IF((D$4-Tracker!$D28+1)/(Tracker!$E28-Tracker!$D28+1)&lt;=Tracker!$J28+0.0001,2,1),0)</f>
        <v>0</v>
      </c>
      <c r="E25" s="72">
        <f>IF(AND(E$4&gt;=Tracker!$D28,E$4&lt;=Tracker!$E28),IF((E$4-Tracker!$D28+1)/(Tracker!$E28-Tracker!$D28+1)&lt;=Tracker!$J28+0.0001,2,1),0)</f>
        <v>0</v>
      </c>
      <c r="F25" s="72">
        <f>IF(AND(F$4&gt;=Tracker!$D28,F$4&lt;=Tracker!$E28),IF((F$4-Tracker!$D28+1)/(Tracker!$E28-Tracker!$D28+1)&lt;=Tracker!$J28+0.0001,2,1),0)</f>
        <v>0</v>
      </c>
      <c r="G25" s="72">
        <f>IF(AND(G$4&gt;=Tracker!$D28,G$4&lt;=Tracker!$E28),IF((G$4-Tracker!$D28+1)/(Tracker!$E28-Tracker!$D28+1)&lt;=Tracker!$J28+0.0001,2,1),0)</f>
        <v>0</v>
      </c>
      <c r="H25" s="72">
        <f>IF(AND(H$4&gt;=Tracker!$D28,H$4&lt;=Tracker!$E28),IF((H$4-Tracker!$D28+1)/(Tracker!$E28-Tracker!$D28+1)&lt;=Tracker!$J28+0.0001,2,1),0)</f>
        <v>0</v>
      </c>
      <c r="I25" s="72">
        <f>IF(AND(I$4&gt;=Tracker!$D28,I$4&lt;=Tracker!$E28),IF((I$4-Tracker!$D28+1)/(Tracker!$E28-Tracker!$D28+1)&lt;=Tracker!$J28+0.0001,2,1),0)</f>
        <v>0</v>
      </c>
      <c r="J25" s="72">
        <f>IF(AND(J$4&gt;=Tracker!$D28,J$4&lt;=Tracker!$E28),IF((J$4-Tracker!$D28+1)/(Tracker!$E28-Tracker!$D28+1)&lt;=Tracker!$J28+0.0001,2,1),0)</f>
        <v>0</v>
      </c>
      <c r="K25" s="72">
        <f>IF(AND(K$4&gt;=Tracker!$D28,K$4&lt;=Tracker!$E28),IF((K$4-Tracker!$D28+1)/(Tracker!$E28-Tracker!$D28+1)&lt;=Tracker!$J28+0.0001,2,1),0)</f>
        <v>1</v>
      </c>
      <c r="L25" s="72">
        <f>IF(AND(L$4&gt;=Tracker!$D28,L$4&lt;=Tracker!$E28),IF((L$4-Tracker!$D28+1)/(Tracker!$E28-Tracker!$D28+1)&lt;=Tracker!$J28+0.0001,2,1),0)</f>
        <v>0</v>
      </c>
      <c r="M25" s="72">
        <f>IF(AND(M$4&gt;=Tracker!$D28,M$4&lt;=Tracker!$E28),IF((M$4-Tracker!$D28+1)/(Tracker!$E28-Tracker!$D28+1)&lt;=Tracker!$J28+0.0001,2,1),0)</f>
        <v>0</v>
      </c>
      <c r="N25" s="72">
        <f>IF(AND(N$4&gt;=Tracker!$D28,N$4&lt;=Tracker!$E28),IF((N$4-Tracker!$D28+1)/(Tracker!$E28-Tracker!$D28+1)&lt;=Tracker!$J28+0.0001,2,1),0)</f>
        <v>0</v>
      </c>
      <c r="O25" s="72">
        <f>IF(AND(O$4&gt;=Tracker!$D28,O$4&lt;=Tracker!$E28),IF((O$4-Tracker!$D28+1)/(Tracker!$E28-Tracker!$D28+1)&lt;=Tracker!$J28+0.0001,2,1),0)</f>
        <v>0</v>
      </c>
      <c r="P25" s="49">
        <f>Tracker!J28</f>
        <v>0.5</v>
      </c>
    </row>
    <row r="26" ht="21.0" customHeight="1">
      <c r="A26" s="43" t="str">
        <f>Tracker!A29</f>
        <v>T21</v>
      </c>
      <c r="B26" s="71" t="str">
        <f>Tracker!C29</f>
        <v>Integrations and API (API keys, webhooks)</v>
      </c>
      <c r="C26" s="72">
        <f>IF(AND(C$4&gt;=Tracker!$D29,C$4&lt;=Tracker!$E29),IF((C$4-Tracker!$D29+1)/(Tracker!$E29-Tracker!$D29+1)&lt;=Tracker!$J29+0.0001,2,1),0)</f>
        <v>0</v>
      </c>
      <c r="D26" s="72">
        <f>IF(AND(D$4&gt;=Tracker!$D29,D$4&lt;=Tracker!$E29),IF((D$4-Tracker!$D29+1)/(Tracker!$E29-Tracker!$D29+1)&lt;=Tracker!$J29+0.0001,2,1),0)</f>
        <v>0</v>
      </c>
      <c r="E26" s="72">
        <f>IF(AND(E$4&gt;=Tracker!$D29,E$4&lt;=Tracker!$E29),IF((E$4-Tracker!$D29+1)/(Tracker!$E29-Tracker!$D29+1)&lt;=Tracker!$J29+0.0001,2,1),0)</f>
        <v>0</v>
      </c>
      <c r="F26" s="72">
        <f>IF(AND(F$4&gt;=Tracker!$D29,F$4&lt;=Tracker!$E29),IF((F$4-Tracker!$D29+1)/(Tracker!$E29-Tracker!$D29+1)&lt;=Tracker!$J29+0.0001,2,1),0)</f>
        <v>0</v>
      </c>
      <c r="G26" s="72">
        <f>IF(AND(G$4&gt;=Tracker!$D29,G$4&lt;=Tracker!$E29),IF((G$4-Tracker!$D29+1)/(Tracker!$E29-Tracker!$D29+1)&lt;=Tracker!$J29+0.0001,2,1),0)</f>
        <v>0</v>
      </c>
      <c r="H26" s="72">
        <f>IF(AND(H$4&gt;=Tracker!$D29,H$4&lt;=Tracker!$E29),IF((H$4-Tracker!$D29+1)/(Tracker!$E29-Tracker!$D29+1)&lt;=Tracker!$J29+0.0001,2,1),0)</f>
        <v>0</v>
      </c>
      <c r="I26" s="72">
        <f>IF(AND(I$4&gt;=Tracker!$D29,I$4&lt;=Tracker!$E29),IF((I$4-Tracker!$D29+1)/(Tracker!$E29-Tracker!$D29+1)&lt;=Tracker!$J29+0.0001,2,1),0)</f>
        <v>0</v>
      </c>
      <c r="J26" s="72">
        <f>IF(AND(J$4&gt;=Tracker!$D29,J$4&lt;=Tracker!$E29),IF((J$4-Tracker!$D29+1)/(Tracker!$E29-Tracker!$D29+1)&lt;=Tracker!$J29+0.0001,2,1),0)</f>
        <v>0</v>
      </c>
      <c r="K26" s="72">
        <f>IF(AND(K$4&gt;=Tracker!$D29,K$4&lt;=Tracker!$E29),IF((K$4-Tracker!$D29+1)/(Tracker!$E29-Tracker!$D29+1)&lt;=Tracker!$J29+0.0001,2,1),0)</f>
        <v>2</v>
      </c>
      <c r="L26" s="72">
        <f>IF(AND(L$4&gt;=Tracker!$D29,L$4&lt;=Tracker!$E29),IF((L$4-Tracker!$D29+1)/(Tracker!$E29-Tracker!$D29+1)&lt;=Tracker!$J29+0.0001,2,1),0)</f>
        <v>1</v>
      </c>
      <c r="M26" s="72">
        <f>IF(AND(M$4&gt;=Tracker!$D29,M$4&lt;=Tracker!$E29),IF((M$4-Tracker!$D29+1)/(Tracker!$E29-Tracker!$D29+1)&lt;=Tracker!$J29+0.0001,2,1),0)</f>
        <v>0</v>
      </c>
      <c r="N26" s="72">
        <f>IF(AND(N$4&gt;=Tracker!$D29,N$4&lt;=Tracker!$E29),IF((N$4-Tracker!$D29+1)/(Tracker!$E29-Tracker!$D29+1)&lt;=Tracker!$J29+0.0001,2,1),0)</f>
        <v>0</v>
      </c>
      <c r="O26" s="72">
        <f>IF(AND(O$4&gt;=Tracker!$D29,O$4&lt;=Tracker!$E29),IF((O$4-Tracker!$D29+1)/(Tracker!$E29-Tracker!$D29+1)&lt;=Tracker!$J29+0.0001,2,1),0)</f>
        <v>0</v>
      </c>
      <c r="P26" s="49">
        <f>Tracker!J29</f>
        <v>0.5</v>
      </c>
    </row>
    <row r="27" ht="21.0" customHeight="1">
      <c r="A27" s="43" t="str">
        <f>Tracker!A30</f>
        <v>T22</v>
      </c>
      <c r="B27" s="71" t="str">
        <f>Tracker!C30</f>
        <v>QA testing, bug fixing and performance checks</v>
      </c>
      <c r="C27" s="72">
        <f>IF(AND(C$4&gt;=Tracker!$D30,C$4&lt;=Tracker!$E30),IF((C$4-Tracker!$D30+1)/(Tracker!$E30-Tracker!$D30+1)&lt;=Tracker!$J30+0.0001,2,1),0)</f>
        <v>0</v>
      </c>
      <c r="D27" s="72">
        <f>IF(AND(D$4&gt;=Tracker!$D30,D$4&lt;=Tracker!$E30),IF((D$4-Tracker!$D30+1)/(Tracker!$E30-Tracker!$D30+1)&lt;=Tracker!$J30+0.0001,2,1),0)</f>
        <v>0</v>
      </c>
      <c r="E27" s="72">
        <f>IF(AND(E$4&gt;=Tracker!$D30,E$4&lt;=Tracker!$E30),IF((E$4-Tracker!$D30+1)/(Tracker!$E30-Tracker!$D30+1)&lt;=Tracker!$J30+0.0001,2,1),0)</f>
        <v>0</v>
      </c>
      <c r="F27" s="72">
        <f>IF(AND(F$4&gt;=Tracker!$D30,F$4&lt;=Tracker!$E30),IF((F$4-Tracker!$D30+1)/(Tracker!$E30-Tracker!$D30+1)&lt;=Tracker!$J30+0.0001,2,1),0)</f>
        <v>0</v>
      </c>
      <c r="G27" s="72">
        <f>IF(AND(G$4&gt;=Tracker!$D30,G$4&lt;=Tracker!$E30),IF((G$4-Tracker!$D30+1)/(Tracker!$E30-Tracker!$D30+1)&lt;=Tracker!$J30+0.0001,2,1),0)</f>
        <v>0</v>
      </c>
      <c r="H27" s="72">
        <f>IF(AND(H$4&gt;=Tracker!$D30,H$4&lt;=Tracker!$E30),IF((H$4-Tracker!$D30+1)/(Tracker!$E30-Tracker!$D30+1)&lt;=Tracker!$J30+0.0001,2,1),0)</f>
        <v>0</v>
      </c>
      <c r="I27" s="72">
        <f>IF(AND(I$4&gt;=Tracker!$D30,I$4&lt;=Tracker!$E30),IF((I$4-Tracker!$D30+1)/(Tracker!$E30-Tracker!$D30+1)&lt;=Tracker!$J30+0.0001,2,1),0)</f>
        <v>0</v>
      </c>
      <c r="J27" s="72">
        <f>IF(AND(J$4&gt;=Tracker!$D30,J$4&lt;=Tracker!$E30),IF((J$4-Tracker!$D30+1)/(Tracker!$E30-Tracker!$D30+1)&lt;=Tracker!$J30+0.0001,2,1),0)</f>
        <v>0</v>
      </c>
      <c r="K27" s="72">
        <f>IF(AND(K$4&gt;=Tracker!$D30,K$4&lt;=Tracker!$E30),IF((K$4-Tracker!$D30+1)/(Tracker!$E30-Tracker!$D30+1)&lt;=Tracker!$J30+0.0001,2,1),0)</f>
        <v>1</v>
      </c>
      <c r="L27" s="72">
        <f>IF(AND(L$4&gt;=Tracker!$D30,L$4&lt;=Tracker!$E30),IF((L$4-Tracker!$D30+1)/(Tracker!$E30-Tracker!$D30+1)&lt;=Tracker!$J30+0.0001,2,1),0)</f>
        <v>1</v>
      </c>
      <c r="M27" s="72">
        <f>IF(AND(M$4&gt;=Tracker!$D30,M$4&lt;=Tracker!$E30),IF((M$4-Tracker!$D30+1)/(Tracker!$E30-Tracker!$D30+1)&lt;=Tracker!$J30+0.0001,2,1),0)</f>
        <v>1</v>
      </c>
      <c r="N27" s="72">
        <f>IF(AND(N$4&gt;=Tracker!$D30,N$4&lt;=Tracker!$E30),IF((N$4-Tracker!$D30+1)/(Tracker!$E30-Tracker!$D30+1)&lt;=Tracker!$J30+0.0001,2,1),0)</f>
        <v>0</v>
      </c>
      <c r="O27" s="72">
        <f>IF(AND(O$4&gt;=Tracker!$D30,O$4&lt;=Tracker!$E30),IF((O$4-Tracker!$D30+1)/(Tracker!$E30-Tracker!$D30+1)&lt;=Tracker!$J30+0.0001,2,1),0)</f>
        <v>0</v>
      </c>
      <c r="P27" s="49">
        <f>Tracker!J30</f>
        <v>0</v>
      </c>
    </row>
    <row r="28" ht="21.0" customHeight="1">
      <c r="A28" s="43" t="str">
        <f>Tracker!A31</f>
        <v>T23</v>
      </c>
      <c r="B28" s="71" t="str">
        <f>Tracker!C31</f>
        <v>UAT, pilot and go-live</v>
      </c>
      <c r="C28" s="72">
        <f>IF(AND(C$4&gt;=Tracker!$D31,C$4&lt;=Tracker!$E31),IF((C$4-Tracker!$D31+1)/(Tracker!$E31-Tracker!$D31+1)&lt;=Tracker!$J31+0.0001,2,1),0)</f>
        <v>0</v>
      </c>
      <c r="D28" s="72">
        <f>IF(AND(D$4&gt;=Tracker!$D31,D$4&lt;=Tracker!$E31),IF((D$4-Tracker!$D31+1)/(Tracker!$E31-Tracker!$D31+1)&lt;=Tracker!$J31+0.0001,2,1),0)</f>
        <v>0</v>
      </c>
      <c r="E28" s="72">
        <f>IF(AND(E$4&gt;=Tracker!$D31,E$4&lt;=Tracker!$E31),IF((E$4-Tracker!$D31+1)/(Tracker!$E31-Tracker!$D31+1)&lt;=Tracker!$J31+0.0001,2,1),0)</f>
        <v>0</v>
      </c>
      <c r="F28" s="72">
        <f>IF(AND(F$4&gt;=Tracker!$D31,F$4&lt;=Tracker!$E31),IF((F$4-Tracker!$D31+1)/(Tracker!$E31-Tracker!$D31+1)&lt;=Tracker!$J31+0.0001,2,1),0)</f>
        <v>0</v>
      </c>
      <c r="G28" s="72">
        <f>IF(AND(G$4&gt;=Tracker!$D31,G$4&lt;=Tracker!$E31),IF((G$4-Tracker!$D31+1)/(Tracker!$E31-Tracker!$D31+1)&lt;=Tracker!$J31+0.0001,2,1),0)</f>
        <v>0</v>
      </c>
      <c r="H28" s="72">
        <f>IF(AND(H$4&gt;=Tracker!$D31,H$4&lt;=Tracker!$E31),IF((H$4-Tracker!$D31+1)/(Tracker!$E31-Tracker!$D31+1)&lt;=Tracker!$J31+0.0001,2,1),0)</f>
        <v>0</v>
      </c>
      <c r="I28" s="72">
        <f>IF(AND(I$4&gt;=Tracker!$D31,I$4&lt;=Tracker!$E31),IF((I$4-Tracker!$D31+1)/(Tracker!$E31-Tracker!$D31+1)&lt;=Tracker!$J31+0.0001,2,1),0)</f>
        <v>0</v>
      </c>
      <c r="J28" s="72">
        <f>IF(AND(J$4&gt;=Tracker!$D31,J$4&lt;=Tracker!$E31),IF((J$4-Tracker!$D31+1)/(Tracker!$E31-Tracker!$D31+1)&lt;=Tracker!$J31+0.0001,2,1),0)</f>
        <v>0</v>
      </c>
      <c r="K28" s="72">
        <f>IF(AND(K$4&gt;=Tracker!$D31,K$4&lt;=Tracker!$E31),IF((K$4-Tracker!$D31+1)/(Tracker!$E31-Tracker!$D31+1)&lt;=Tracker!$J31+0.0001,2,1),0)</f>
        <v>0</v>
      </c>
      <c r="L28" s="72">
        <f>IF(AND(L$4&gt;=Tracker!$D31,L$4&lt;=Tracker!$E31),IF((L$4-Tracker!$D31+1)/(Tracker!$E31-Tracker!$D31+1)&lt;=Tracker!$J31+0.0001,2,1),0)</f>
        <v>1</v>
      </c>
      <c r="M28" s="72">
        <f>IF(AND(M$4&gt;=Tracker!$D31,M$4&lt;=Tracker!$E31),IF((M$4-Tracker!$D31+1)/(Tracker!$E31-Tracker!$D31+1)&lt;=Tracker!$J31+0.0001,2,1),0)</f>
        <v>1</v>
      </c>
      <c r="N28" s="72">
        <f>IF(AND(N$4&gt;=Tracker!$D31,N$4&lt;=Tracker!$E31),IF((N$4-Tracker!$D31+1)/(Tracker!$E31-Tracker!$D31+1)&lt;=Tracker!$J31+0.0001,2,1),0)</f>
        <v>0</v>
      </c>
      <c r="O28" s="72">
        <f>IF(AND(O$4&gt;=Tracker!$D31,O$4&lt;=Tracker!$E31),IF((O$4-Tracker!$D31+1)/(Tracker!$E31-Tracker!$D31+1)&lt;=Tracker!$J31+0.0001,2,1),0)</f>
        <v>0</v>
      </c>
      <c r="P28" s="49">
        <f>Tracker!J31</f>
        <v>0</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C3:F3"/>
    <mergeCell ref="G3:J3"/>
    <mergeCell ref="K3:O3"/>
  </mergeCells>
  <conditionalFormatting sqref="C6:O28">
    <cfRule type="cellIs" dxfId="13" priority="1" operator="equal">
      <formula>2</formula>
    </cfRule>
  </conditionalFormatting>
  <conditionalFormatting sqref="C6:O28">
    <cfRule type="cellIs" dxfId="14" priority="2" operator="equal">
      <formula>1</formula>
    </cfRule>
  </conditionalFormatting>
  <printOptions/>
  <pageMargins bottom="1.0" footer="0.0" header="0.0" left="0.75" right="0.75" top="1.0"/>
  <pageSetup fitToHeight="0" orientation="landscape"/>
  <headerFooter>
    <oddFooter>&amp;L Project Owner: Louren Isobel Rubico&amp;R Page &amp;P of </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FD6D1"/>
    <pageSetUpPr fitToPage="1"/>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9.0"/>
    <col customWidth="1" min="2" max="2" width="13.0"/>
    <col customWidth="1" min="3" max="3" width="16.0"/>
    <col customWidth="1" min="4" max="5" width="17.0"/>
    <col customWidth="1" min="6" max="6" width="36.0"/>
  </cols>
  <sheetData>
    <row r="1" ht="36.0" customHeight="1">
      <c r="A1" s="34" t="s">
        <v>126</v>
      </c>
      <c r="B1" s="2"/>
      <c r="C1" s="2"/>
      <c r="D1" s="2"/>
      <c r="E1" s="2"/>
      <c r="F1" s="2"/>
    </row>
    <row r="2" ht="21.75" customHeight="1">
      <c r="A2" s="35" t="str">
        <f>"Project Owner: "&amp;Tracker!$C$3&amp;"   |   Enter Actual % at the end of each week (copy Tracker J32). Leave future weeks blank."</f>
        <v>Project Owner: Thea Consignado   |   Enter Actual % at the end of each week (copy Tracker J32). Leave future weeks blank.</v>
      </c>
      <c r="B2" s="2"/>
      <c r="C2" s="2"/>
      <c r="D2" s="2"/>
      <c r="E2" s="2"/>
      <c r="F2" s="2"/>
    </row>
    <row r="4" ht="30.0" customHeight="1">
      <c r="A4" s="18" t="s">
        <v>127</v>
      </c>
      <c r="B4" s="18" t="s">
        <v>125</v>
      </c>
      <c r="C4" s="18" t="s">
        <v>10</v>
      </c>
      <c r="D4" s="18" t="s">
        <v>128</v>
      </c>
      <c r="E4" s="18" t="s">
        <v>44</v>
      </c>
      <c r="F4" s="18" t="s">
        <v>129</v>
      </c>
    </row>
    <row r="5" ht="21.0" customHeight="1">
      <c r="A5" s="73">
        <v>0.0</v>
      </c>
      <c r="B5" s="47" t="s">
        <v>130</v>
      </c>
      <c r="C5" s="22">
        <f>SUMPRODUCT(Tracker!$F$9:$F$31,'Plan calc'!C$4:C$26)/Tracker!$F$32</f>
        <v>0</v>
      </c>
      <c r="D5" s="74">
        <v>0.0</v>
      </c>
      <c r="E5" s="75">
        <f t="shared" ref="E5:E18" si="1">IF(D5="","",(D5-C5)*100)</f>
        <v>0</v>
      </c>
      <c r="F5" s="71"/>
    </row>
    <row r="6" ht="21.0" customHeight="1">
      <c r="A6" s="73">
        <v>1.0</v>
      </c>
      <c r="B6" s="47">
        <f>Tracker!$C$4+(1-1)*7</f>
        <v>46280</v>
      </c>
      <c r="C6" s="22">
        <f>SUMPRODUCT(Tracker!$F$9:$F$31,'Plan calc'!D$4:D$26)/Tracker!$F$32</f>
        <v>0.05410122164</v>
      </c>
      <c r="D6" s="74"/>
      <c r="E6" s="75" t="str">
        <f t="shared" si="1"/>
        <v/>
      </c>
      <c r="F6" s="71"/>
    </row>
    <row r="7" ht="21.0" customHeight="1">
      <c r="A7" s="73">
        <v>2.0</v>
      </c>
      <c r="B7" s="47">
        <f>Tracker!$C$4+(2-1)*7</f>
        <v>46287</v>
      </c>
      <c r="C7" s="22">
        <f>SUMPRODUCT(Tracker!$F$9:$F$31,'Plan calc'!E$4:E$26)/Tracker!$F$32</f>
        <v>0.1369982548</v>
      </c>
      <c r="D7" s="74"/>
      <c r="E7" s="75" t="str">
        <f t="shared" si="1"/>
        <v/>
      </c>
      <c r="F7" s="71"/>
    </row>
    <row r="8" ht="21.0" customHeight="1">
      <c r="A8" s="73">
        <v>3.0</v>
      </c>
      <c r="B8" s="47">
        <f>Tracker!$C$4+(3-1)*7</f>
        <v>46294</v>
      </c>
      <c r="C8" s="22">
        <f>SUMPRODUCT(Tracker!$F$9:$F$31,'Plan calc'!F$4:F$26)/Tracker!$F$32</f>
        <v>0.2984293194</v>
      </c>
      <c r="D8" s="74"/>
      <c r="E8" s="75" t="str">
        <f t="shared" si="1"/>
        <v/>
      </c>
      <c r="F8" s="71"/>
    </row>
    <row r="9" ht="21.0" customHeight="1">
      <c r="A9" s="73">
        <v>4.0</v>
      </c>
      <c r="B9" s="47">
        <f>Tracker!$C$4+(4-1)*7</f>
        <v>46301</v>
      </c>
      <c r="C9" s="22">
        <f>SUMPRODUCT(Tracker!$F$9:$F$31,'Plan calc'!G$4:G$26)/Tracker!$F$32</f>
        <v>0.387434555</v>
      </c>
      <c r="D9" s="74"/>
      <c r="E9" s="75" t="str">
        <f t="shared" si="1"/>
        <v/>
      </c>
      <c r="F9" s="71"/>
    </row>
    <row r="10" ht="21.0" customHeight="1">
      <c r="A10" s="73">
        <v>5.0</v>
      </c>
      <c r="B10" s="47">
        <f>Tracker!$C$4+(5-1)*7</f>
        <v>46308</v>
      </c>
      <c r="C10" s="22">
        <f>SUMPRODUCT(Tracker!$F$9:$F$31,'Plan calc'!H$4:H$26)/Tracker!$F$32</f>
        <v>0.4790575916</v>
      </c>
      <c r="D10" s="74"/>
      <c r="E10" s="75" t="str">
        <f t="shared" si="1"/>
        <v/>
      </c>
      <c r="F10" s="71"/>
    </row>
    <row r="11" ht="21.0" customHeight="1">
      <c r="A11" s="73">
        <v>6.0</v>
      </c>
      <c r="B11" s="47">
        <f>Tracker!$C$4+(6-1)*7</f>
        <v>46315</v>
      </c>
      <c r="C11" s="22">
        <f>SUMPRODUCT(Tracker!$F$9:$F$31,'Plan calc'!I$4:I$26)/Tracker!$F$32</f>
        <v>0.5689354276</v>
      </c>
      <c r="D11" s="74"/>
      <c r="E11" s="75" t="str">
        <f t="shared" si="1"/>
        <v/>
      </c>
      <c r="F11" s="71"/>
    </row>
    <row r="12" ht="21.0" customHeight="1">
      <c r="A12" s="73">
        <v>7.0</v>
      </c>
      <c r="B12" s="47">
        <f>Tracker!$C$4+(7-1)*7</f>
        <v>46322</v>
      </c>
      <c r="C12" s="22">
        <f>SUMPRODUCT(Tracker!$F$9:$F$31,'Plan calc'!J$4:J$26)/Tracker!$F$32</f>
        <v>0.6588132635</v>
      </c>
      <c r="D12" s="74"/>
      <c r="E12" s="75" t="str">
        <f t="shared" si="1"/>
        <v/>
      </c>
      <c r="F12" s="71"/>
    </row>
    <row r="13" ht="21.0" customHeight="1">
      <c r="A13" s="73">
        <v>8.0</v>
      </c>
      <c r="B13" s="47">
        <f>Tracker!$C$4+(8-1)*7</f>
        <v>46329</v>
      </c>
      <c r="C13" s="22">
        <f>SUMPRODUCT(Tracker!$F$9:$F$31,'Plan calc'!K$4:K$26)/Tracker!$F$32</f>
        <v>0.7748691099</v>
      </c>
      <c r="D13" s="74"/>
      <c r="E13" s="75" t="str">
        <f t="shared" si="1"/>
        <v/>
      </c>
      <c r="F13" s="71"/>
    </row>
    <row r="14" ht="21.0" customHeight="1">
      <c r="A14" s="73">
        <v>9.0</v>
      </c>
      <c r="B14" s="47">
        <f>Tracker!$C$4+(9-1)*7</f>
        <v>46336</v>
      </c>
      <c r="C14" s="22">
        <f>SUMPRODUCT(Tracker!$F$9:$F$31,'Plan calc'!L$4:L$26)/Tracker!$F$32</f>
        <v>0.8935427574</v>
      </c>
      <c r="D14" s="74"/>
      <c r="E14" s="75" t="str">
        <f t="shared" si="1"/>
        <v/>
      </c>
      <c r="F14" s="71"/>
    </row>
    <row r="15" ht="21.0" customHeight="1">
      <c r="A15" s="73">
        <v>10.0</v>
      </c>
      <c r="B15" s="47">
        <f>Tracker!$C$4+(10-1)*7</f>
        <v>46343</v>
      </c>
      <c r="C15" s="22">
        <f>SUMPRODUCT(Tracker!$F$9:$F$31,'Plan calc'!M$4:M$26)/Tracker!$F$32</f>
        <v>0.9546247818</v>
      </c>
      <c r="D15" s="74"/>
      <c r="E15" s="75" t="str">
        <f t="shared" si="1"/>
        <v/>
      </c>
      <c r="F15" s="71"/>
    </row>
    <row r="16" ht="21.0" customHeight="1">
      <c r="A16" s="73">
        <v>11.0</v>
      </c>
      <c r="B16" s="47">
        <f>Tracker!$C$4+(11-1)*7</f>
        <v>46350</v>
      </c>
      <c r="C16" s="22">
        <f>SUMPRODUCT(Tracker!$F$9:$F$31,'Plan calc'!N$4:N$26)/Tracker!$F$32</f>
        <v>1</v>
      </c>
      <c r="D16" s="74"/>
      <c r="E16" s="75" t="str">
        <f t="shared" si="1"/>
        <v/>
      </c>
      <c r="F16" s="71"/>
    </row>
    <row r="17" ht="21.0" customHeight="1">
      <c r="A17" s="73">
        <v>12.0</v>
      </c>
      <c r="B17" s="47">
        <f>Tracker!$C$4+(12-1)*7</f>
        <v>46357</v>
      </c>
      <c r="C17" s="22">
        <f>SUMPRODUCT(Tracker!$F$9:$F$31,'Plan calc'!O$4:O$26)/Tracker!$F$32</f>
        <v>1</v>
      </c>
      <c r="D17" s="74"/>
      <c r="E17" s="75" t="str">
        <f t="shared" si="1"/>
        <v/>
      </c>
      <c r="F17" s="71"/>
    </row>
    <row r="18" ht="21.0" customHeight="1">
      <c r="A18" s="73">
        <v>13.0</v>
      </c>
      <c r="B18" s="47">
        <f>Tracker!$C$4+(13-1)*7</f>
        <v>46364</v>
      </c>
      <c r="C18" s="22">
        <f>SUMPRODUCT(Tracker!$F$9:$F$31,'Plan calc'!P$4:P$26)/Tracker!$F$32</f>
        <v>1</v>
      </c>
      <c r="D18" s="74"/>
      <c r="E18" s="75" t="str">
        <f t="shared" si="1"/>
        <v/>
      </c>
      <c r="F18" s="7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E5:E18">
    <cfRule type="cellIs" dxfId="11" priority="1" operator="lessThan">
      <formula>-2</formula>
    </cfRule>
  </conditionalFormatting>
  <conditionalFormatting sqref="E5:E18">
    <cfRule type="cellIs" dxfId="15" priority="2" operator="greaterThan">
      <formula>2</formula>
    </cfRule>
  </conditionalFormatting>
  <printOptions/>
  <pageMargins bottom="1.0" footer="0.0" header="0.0" left="0.75" right="0.75" top="1.0"/>
  <pageSetup fitToHeight="0" orientation="landscape"/>
  <headerFooter>
    <oddFooter>&amp;L Project Owner: Louren Isobel Rubico&amp;R Page &amp;P of </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E7C7B"/>
    <pageSetUpPr fitToPage="1"/>
  </sheetPr>
  <sheetViews>
    <sheetView showGridLines="0"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4.43" defaultRowHeight="15.0"/>
  <cols>
    <col customWidth="1" min="1" max="1" width="7.0"/>
    <col customWidth="1" min="2" max="2" width="22.0"/>
    <col customWidth="1" min="3" max="3" width="16.0"/>
    <col customWidth="1" min="4" max="4" width="62.0"/>
    <col customWidth="1" min="5" max="5" width="52.0"/>
    <col customWidth="1" min="6" max="6" width="10.0"/>
    <col customWidth="1" min="7" max="7" width="8.0"/>
    <col customWidth="1" min="8" max="9" width="14.0"/>
    <col customWidth="1" min="10" max="10" width="11.0"/>
  </cols>
  <sheetData>
    <row r="1" ht="36.0" customHeight="1">
      <c r="A1" s="34" t="s">
        <v>131</v>
      </c>
      <c r="B1" s="2"/>
      <c r="C1" s="2"/>
      <c r="D1" s="2"/>
      <c r="E1" s="2"/>
      <c r="F1" s="2"/>
      <c r="G1" s="2"/>
      <c r="H1" s="2"/>
      <c r="I1" s="2"/>
      <c r="J1" s="2"/>
    </row>
    <row r="2" ht="21.75" customHeight="1">
      <c r="A2" s="35" t="str">
        <f>"Project Owner: "&amp;Tracker!$C$3&amp;"   |   Pick a Story status from the dropdown; Progress % is calculated from it"</f>
        <v>Project Owner: Thea Consignado   |   Pick a Story status from the dropdown; Progress % is calculated from it</v>
      </c>
      <c r="B2" s="2"/>
      <c r="C2" s="2"/>
      <c r="D2" s="2"/>
      <c r="E2" s="2"/>
      <c r="F2" s="2"/>
      <c r="G2" s="2"/>
      <c r="H2" s="2"/>
      <c r="I2" s="2"/>
      <c r="J2" s="2"/>
    </row>
    <row r="4" ht="30.0" customHeight="1">
      <c r="A4" s="18" t="s">
        <v>36</v>
      </c>
      <c r="B4" s="18" t="s">
        <v>132</v>
      </c>
      <c r="C4" s="18" t="s">
        <v>133</v>
      </c>
      <c r="D4" s="18" t="s">
        <v>134</v>
      </c>
      <c r="E4" s="18" t="s">
        <v>135</v>
      </c>
      <c r="F4" s="18" t="s">
        <v>136</v>
      </c>
      <c r="G4" s="18" t="s">
        <v>37</v>
      </c>
      <c r="H4" s="18" t="s">
        <v>137</v>
      </c>
      <c r="I4" s="18" t="s">
        <v>138</v>
      </c>
      <c r="J4" s="18" t="s">
        <v>42</v>
      </c>
    </row>
    <row r="5" ht="34.5" customHeight="1">
      <c r="A5" s="76" t="s">
        <v>139</v>
      </c>
      <c r="B5" s="77" t="s">
        <v>140</v>
      </c>
      <c r="C5" s="78" t="s">
        <v>141</v>
      </c>
      <c r="D5" s="79" t="s">
        <v>142</v>
      </c>
      <c r="E5" s="80" t="s">
        <v>143</v>
      </c>
      <c r="F5" s="81" t="s">
        <v>144</v>
      </c>
      <c r="G5" s="82" t="s">
        <v>53</v>
      </c>
      <c r="H5" s="83" t="str">
        <f t="array" ref="H5">IFERROR(INDEX(Tracker!$I$9:$I$31,MATCH(G5,Tracker!$A$9:$A$31,0)),"")</f>
        <v>In progress</v>
      </c>
      <c r="I5" s="84" t="s">
        <v>16</v>
      </c>
      <c r="J5" s="85">
        <f>IFERROR(VLOOKUP(I5,Lists!$A$5:$B$8,2,FALSE()),0)</f>
        <v>0.5</v>
      </c>
    </row>
    <row r="6" ht="48.0" customHeight="1">
      <c r="A6" s="76" t="s">
        <v>145</v>
      </c>
      <c r="B6" s="77" t="s">
        <v>140</v>
      </c>
      <c r="C6" s="78" t="s">
        <v>146</v>
      </c>
      <c r="D6" s="79" t="s">
        <v>147</v>
      </c>
      <c r="E6" s="80" t="s">
        <v>148</v>
      </c>
      <c r="F6" s="81" t="s">
        <v>144</v>
      </c>
      <c r="G6" s="82" t="s">
        <v>53</v>
      </c>
      <c r="H6" s="83" t="str">
        <f t="array" ref="H6">IFERROR(INDEX(Tracker!$I$9:$I$31,MATCH(G6,Tracker!$A$9:$A$31,0)),"")</f>
        <v>In progress</v>
      </c>
      <c r="I6" s="84" t="s">
        <v>16</v>
      </c>
      <c r="J6" s="85">
        <f>IFERROR(VLOOKUP(I6,Lists!$A$5:$B$8,2,FALSE()),0)</f>
        <v>0.5</v>
      </c>
    </row>
    <row r="7" ht="34.5" customHeight="1">
      <c r="A7" s="76" t="s">
        <v>149</v>
      </c>
      <c r="B7" s="77" t="s">
        <v>140</v>
      </c>
      <c r="C7" s="78" t="s">
        <v>141</v>
      </c>
      <c r="D7" s="79" t="s">
        <v>150</v>
      </c>
      <c r="E7" s="80" t="s">
        <v>151</v>
      </c>
      <c r="F7" s="81" t="s">
        <v>144</v>
      </c>
      <c r="G7" s="82" t="s">
        <v>53</v>
      </c>
      <c r="H7" s="83" t="str">
        <f t="array" ref="H7">IFERROR(INDEX(Tracker!$I$9:$I$31,MATCH(G7,Tracker!$A$9:$A$31,0)),"")</f>
        <v>In progress</v>
      </c>
      <c r="I7" s="84" t="s">
        <v>16</v>
      </c>
      <c r="J7" s="85">
        <f>IFERROR(VLOOKUP(I7,Lists!$A$5:$B$8,2,FALSE()),0)</f>
        <v>0.5</v>
      </c>
    </row>
    <row r="8" ht="34.5" customHeight="1">
      <c r="A8" s="76" t="s">
        <v>152</v>
      </c>
      <c r="B8" s="77" t="s">
        <v>140</v>
      </c>
      <c r="C8" s="78" t="s">
        <v>141</v>
      </c>
      <c r="D8" s="79" t="s">
        <v>153</v>
      </c>
      <c r="E8" s="80" t="s">
        <v>154</v>
      </c>
      <c r="F8" s="81" t="s">
        <v>144</v>
      </c>
      <c r="G8" s="82" t="s">
        <v>56</v>
      </c>
      <c r="H8" s="83" t="str">
        <f t="array" ref="H8">IFERROR(INDEX(Tracker!$I$9:$I$31,MATCH(G8,Tracker!$A$9:$A$31,0)),"")</f>
        <v>In progress</v>
      </c>
      <c r="I8" s="84" t="s">
        <v>16</v>
      </c>
      <c r="J8" s="85">
        <f>IFERROR(VLOOKUP(I8,Lists!$A$5:$B$8,2,FALSE()),0)</f>
        <v>0.5</v>
      </c>
    </row>
    <row r="9" ht="48.0" customHeight="1">
      <c r="A9" s="76" t="s">
        <v>155</v>
      </c>
      <c r="B9" s="77" t="s">
        <v>140</v>
      </c>
      <c r="C9" s="78" t="s">
        <v>141</v>
      </c>
      <c r="D9" s="79" t="s">
        <v>156</v>
      </c>
      <c r="E9" s="80" t="s">
        <v>157</v>
      </c>
      <c r="F9" s="81" t="s">
        <v>158</v>
      </c>
      <c r="G9" s="82" t="s">
        <v>56</v>
      </c>
      <c r="H9" s="83" t="str">
        <f t="array" ref="H9">IFERROR(INDEX(Tracker!$I$9:$I$31,MATCH(G9,Tracker!$A$9:$A$31,0)),"")</f>
        <v>In progress</v>
      </c>
      <c r="I9" s="84" t="s">
        <v>16</v>
      </c>
      <c r="J9" s="85">
        <f>IFERROR(VLOOKUP(I9,Lists!$A$5:$B$8,2,FALSE()),0)</f>
        <v>0.5</v>
      </c>
    </row>
    <row r="10" ht="34.5" customHeight="1">
      <c r="A10" s="76" t="s">
        <v>159</v>
      </c>
      <c r="B10" s="77" t="s">
        <v>160</v>
      </c>
      <c r="C10" s="78" t="s">
        <v>141</v>
      </c>
      <c r="D10" s="79" t="s">
        <v>161</v>
      </c>
      <c r="E10" s="80" t="s">
        <v>162</v>
      </c>
      <c r="F10" s="81" t="s">
        <v>144</v>
      </c>
      <c r="G10" s="82" t="s">
        <v>59</v>
      </c>
      <c r="H10" s="83" t="str">
        <f t="array" ref="H10">IFERROR(INDEX(Tracker!$I$9:$I$31,MATCH(G10,Tracker!$A$9:$A$31,0)),"")</f>
        <v>In progress</v>
      </c>
      <c r="I10" s="84" t="s">
        <v>16</v>
      </c>
      <c r="J10" s="85">
        <f>IFERROR(VLOOKUP(I10,Lists!$A$5:$B$8,2,FALSE()),0)</f>
        <v>0.5</v>
      </c>
    </row>
    <row r="11" ht="34.5" customHeight="1">
      <c r="A11" s="76" t="s">
        <v>163</v>
      </c>
      <c r="B11" s="77" t="s">
        <v>160</v>
      </c>
      <c r="C11" s="78" t="s">
        <v>141</v>
      </c>
      <c r="D11" s="79" t="s">
        <v>164</v>
      </c>
      <c r="E11" s="80" t="s">
        <v>165</v>
      </c>
      <c r="F11" s="81" t="s">
        <v>158</v>
      </c>
      <c r="G11" s="82" t="s">
        <v>59</v>
      </c>
      <c r="H11" s="83" t="str">
        <f t="array" ref="H11">IFERROR(INDEX(Tracker!$I$9:$I$31,MATCH(G11,Tracker!$A$9:$A$31,0)),"")</f>
        <v>In progress</v>
      </c>
      <c r="I11" s="84" t="s">
        <v>16</v>
      </c>
      <c r="J11" s="85">
        <f>IFERROR(VLOOKUP(I11,Lists!$A$5:$B$8,2,FALSE()),0)</f>
        <v>0.5</v>
      </c>
    </row>
    <row r="12" ht="34.5" customHeight="1">
      <c r="A12" s="76" t="s">
        <v>166</v>
      </c>
      <c r="B12" s="77" t="s">
        <v>160</v>
      </c>
      <c r="C12" s="78" t="s">
        <v>141</v>
      </c>
      <c r="D12" s="79" t="s">
        <v>167</v>
      </c>
      <c r="E12" s="80" t="s">
        <v>168</v>
      </c>
      <c r="F12" s="81" t="s">
        <v>158</v>
      </c>
      <c r="G12" s="82" t="s">
        <v>62</v>
      </c>
      <c r="H12" s="83" t="str">
        <f t="array" ref="H12">IFERROR(INDEX(Tracker!$I$9:$I$31,MATCH(G12,Tracker!$A$9:$A$31,0)),"")</f>
        <v>In progress</v>
      </c>
      <c r="I12" s="84" t="s">
        <v>16</v>
      </c>
      <c r="J12" s="85">
        <f>IFERROR(VLOOKUP(I12,Lists!$A$5:$B$8,2,FALSE()),0)</f>
        <v>0.5</v>
      </c>
    </row>
    <row r="13" ht="34.5" customHeight="1">
      <c r="A13" s="76" t="s">
        <v>169</v>
      </c>
      <c r="B13" s="77" t="s">
        <v>170</v>
      </c>
      <c r="C13" s="78" t="s">
        <v>171</v>
      </c>
      <c r="D13" s="79" t="s">
        <v>172</v>
      </c>
      <c r="E13" s="80" t="s">
        <v>173</v>
      </c>
      <c r="F13" s="81" t="s">
        <v>144</v>
      </c>
      <c r="G13" s="82" t="s">
        <v>65</v>
      </c>
      <c r="H13" s="83" t="str">
        <f t="array" ref="H13">IFERROR(INDEX(Tracker!$I$9:$I$31,MATCH(G13,Tracker!$A$9:$A$31,0)),"")</f>
        <v>In progress</v>
      </c>
      <c r="I13" s="84" t="s">
        <v>16</v>
      </c>
      <c r="J13" s="85">
        <f>IFERROR(VLOOKUP(I13,Lists!$A$5:$B$8,2,FALSE()),0)</f>
        <v>0.5</v>
      </c>
    </row>
    <row r="14" ht="34.5" customHeight="1">
      <c r="A14" s="76" t="s">
        <v>174</v>
      </c>
      <c r="B14" s="77" t="s">
        <v>170</v>
      </c>
      <c r="C14" s="78" t="s">
        <v>171</v>
      </c>
      <c r="D14" s="79" t="s">
        <v>175</v>
      </c>
      <c r="E14" s="80" t="s">
        <v>176</v>
      </c>
      <c r="F14" s="81" t="s">
        <v>144</v>
      </c>
      <c r="G14" s="82" t="s">
        <v>65</v>
      </c>
      <c r="H14" s="83" t="str">
        <f t="array" ref="H14">IFERROR(INDEX(Tracker!$I$9:$I$31,MATCH(G14,Tracker!$A$9:$A$31,0)),"")</f>
        <v>In progress</v>
      </c>
      <c r="I14" s="84" t="s">
        <v>16</v>
      </c>
      <c r="J14" s="85">
        <f>IFERROR(VLOOKUP(I14,Lists!$A$5:$B$8,2,FALSE()),0)</f>
        <v>0.5</v>
      </c>
    </row>
    <row r="15" ht="34.5" customHeight="1">
      <c r="A15" s="76" t="s">
        <v>177</v>
      </c>
      <c r="B15" s="77" t="s">
        <v>170</v>
      </c>
      <c r="C15" s="78" t="s">
        <v>171</v>
      </c>
      <c r="D15" s="79" t="s">
        <v>178</v>
      </c>
      <c r="E15" s="80" t="s">
        <v>179</v>
      </c>
      <c r="F15" s="81" t="s">
        <v>158</v>
      </c>
      <c r="G15" s="82" t="s">
        <v>65</v>
      </c>
      <c r="H15" s="83" t="str">
        <f t="array" ref="H15">IFERROR(INDEX(Tracker!$I$9:$I$31,MATCH(G15,Tracker!$A$9:$A$31,0)),"")</f>
        <v>In progress</v>
      </c>
      <c r="I15" s="84" t="s">
        <v>16</v>
      </c>
      <c r="J15" s="85">
        <f>IFERROR(VLOOKUP(I15,Lists!$A$5:$B$8,2,FALSE()),0)</f>
        <v>0.5</v>
      </c>
    </row>
    <row r="16" ht="34.5" customHeight="1">
      <c r="A16" s="76" t="s">
        <v>180</v>
      </c>
      <c r="B16" s="77" t="s">
        <v>170</v>
      </c>
      <c r="C16" s="78" t="s">
        <v>181</v>
      </c>
      <c r="D16" s="79" t="s">
        <v>182</v>
      </c>
      <c r="E16" s="80" t="s">
        <v>183</v>
      </c>
      <c r="F16" s="81" t="s">
        <v>144</v>
      </c>
      <c r="G16" s="82" t="s">
        <v>65</v>
      </c>
      <c r="H16" s="83" t="str">
        <f t="array" ref="H16">IFERROR(INDEX(Tracker!$I$9:$I$31,MATCH(G16,Tracker!$A$9:$A$31,0)),"")</f>
        <v>In progress</v>
      </c>
      <c r="I16" s="84" t="s">
        <v>16</v>
      </c>
      <c r="J16" s="85">
        <f>IFERROR(VLOOKUP(I16,Lists!$A$5:$B$8,2,FALSE()),0)</f>
        <v>0.5</v>
      </c>
    </row>
    <row r="17" ht="34.5" customHeight="1">
      <c r="A17" s="76" t="s">
        <v>184</v>
      </c>
      <c r="B17" s="77" t="s">
        <v>185</v>
      </c>
      <c r="C17" s="78" t="s">
        <v>171</v>
      </c>
      <c r="D17" s="79" t="s">
        <v>186</v>
      </c>
      <c r="E17" s="80" t="s">
        <v>187</v>
      </c>
      <c r="F17" s="81" t="s">
        <v>144</v>
      </c>
      <c r="G17" s="82" t="s">
        <v>68</v>
      </c>
      <c r="H17" s="83" t="str">
        <f t="array" ref="H17">IFERROR(INDEX(Tracker!$I$9:$I$31,MATCH(G17,Tracker!$A$9:$A$31,0)),"")</f>
        <v>In progress</v>
      </c>
      <c r="I17" s="84" t="s">
        <v>16</v>
      </c>
      <c r="J17" s="85">
        <f>IFERROR(VLOOKUP(I17,Lists!$A$5:$B$8,2,FALSE()),0)</f>
        <v>0.5</v>
      </c>
    </row>
    <row r="18" ht="34.5" customHeight="1">
      <c r="A18" s="76" t="s">
        <v>188</v>
      </c>
      <c r="B18" s="77" t="s">
        <v>185</v>
      </c>
      <c r="C18" s="78" t="s">
        <v>171</v>
      </c>
      <c r="D18" s="79" t="s">
        <v>189</v>
      </c>
      <c r="E18" s="80" t="s">
        <v>190</v>
      </c>
      <c r="F18" s="81" t="s">
        <v>144</v>
      </c>
      <c r="G18" s="82" t="s">
        <v>68</v>
      </c>
      <c r="H18" s="83" t="str">
        <f t="array" ref="H18">IFERROR(INDEX(Tracker!$I$9:$I$31,MATCH(G18,Tracker!$A$9:$A$31,0)),"")</f>
        <v>In progress</v>
      </c>
      <c r="I18" s="84" t="s">
        <v>16</v>
      </c>
      <c r="J18" s="85">
        <f>IFERROR(VLOOKUP(I18,Lists!$A$5:$B$8,2,FALSE()),0)</f>
        <v>0.5</v>
      </c>
    </row>
    <row r="19" ht="34.5" customHeight="1">
      <c r="A19" s="76" t="s">
        <v>191</v>
      </c>
      <c r="B19" s="77" t="s">
        <v>185</v>
      </c>
      <c r="C19" s="78" t="s">
        <v>171</v>
      </c>
      <c r="D19" s="79" t="s">
        <v>192</v>
      </c>
      <c r="E19" s="80" t="s">
        <v>193</v>
      </c>
      <c r="F19" s="81" t="s">
        <v>158</v>
      </c>
      <c r="G19" s="82" t="s">
        <v>68</v>
      </c>
      <c r="H19" s="83" t="str">
        <f t="array" ref="H19">IFERROR(INDEX(Tracker!$I$9:$I$31,MATCH(G19,Tracker!$A$9:$A$31,0)),"")</f>
        <v>In progress</v>
      </c>
      <c r="I19" s="84" t="s">
        <v>16</v>
      </c>
      <c r="J19" s="85">
        <f>IFERROR(VLOOKUP(I19,Lists!$A$5:$B$8,2,FALSE()),0)</f>
        <v>0.5</v>
      </c>
    </row>
    <row r="20" ht="48.0" customHeight="1">
      <c r="A20" s="76" t="s">
        <v>194</v>
      </c>
      <c r="B20" s="77" t="s">
        <v>185</v>
      </c>
      <c r="C20" s="78" t="s">
        <v>171</v>
      </c>
      <c r="D20" s="79" t="s">
        <v>195</v>
      </c>
      <c r="E20" s="80" t="s">
        <v>196</v>
      </c>
      <c r="F20" s="81" t="s">
        <v>144</v>
      </c>
      <c r="G20" s="82" t="s">
        <v>71</v>
      </c>
      <c r="H20" s="83" t="str">
        <f t="array" ref="H20">IFERROR(INDEX(Tracker!$I$9:$I$31,MATCH(G20,Tracker!$A$9:$A$31,0)),"")</f>
        <v>In progress</v>
      </c>
      <c r="I20" s="84" t="s">
        <v>16</v>
      </c>
      <c r="J20" s="85">
        <f>IFERROR(VLOOKUP(I20,Lists!$A$5:$B$8,2,FALSE()),0)</f>
        <v>0.5</v>
      </c>
    </row>
    <row r="21" ht="34.5" customHeight="1">
      <c r="A21" s="76" t="s">
        <v>197</v>
      </c>
      <c r="B21" s="77" t="s">
        <v>185</v>
      </c>
      <c r="C21" s="78" t="s">
        <v>198</v>
      </c>
      <c r="D21" s="79" t="s">
        <v>199</v>
      </c>
      <c r="E21" s="80" t="s">
        <v>200</v>
      </c>
      <c r="F21" s="81" t="s">
        <v>158</v>
      </c>
      <c r="G21" s="82" t="s">
        <v>71</v>
      </c>
      <c r="H21" s="83" t="str">
        <f t="array" ref="H21">IFERROR(INDEX(Tracker!$I$9:$I$31,MATCH(G21,Tracker!$A$9:$A$31,0)),"")</f>
        <v>In progress</v>
      </c>
      <c r="I21" s="84" t="s">
        <v>16</v>
      </c>
      <c r="J21" s="85">
        <f>IFERROR(VLOOKUP(I21,Lists!$A$5:$B$8,2,FALSE()),0)</f>
        <v>0.5</v>
      </c>
    </row>
    <row r="22" ht="34.5" customHeight="1">
      <c r="A22" s="76" t="s">
        <v>201</v>
      </c>
      <c r="B22" s="77" t="s">
        <v>202</v>
      </c>
      <c r="C22" s="78" t="s">
        <v>171</v>
      </c>
      <c r="D22" s="79" t="s">
        <v>203</v>
      </c>
      <c r="E22" s="80" t="s">
        <v>204</v>
      </c>
      <c r="F22" s="81" t="s">
        <v>144</v>
      </c>
      <c r="G22" s="82" t="s">
        <v>74</v>
      </c>
      <c r="H22" s="83" t="str">
        <f t="array" ref="H22">IFERROR(INDEX(Tracker!$I$9:$I$31,MATCH(G22,Tracker!$A$9:$A$31,0)),"")</f>
        <v>In progress</v>
      </c>
      <c r="I22" s="84" t="s">
        <v>16</v>
      </c>
      <c r="J22" s="85">
        <f>IFERROR(VLOOKUP(I22,Lists!$A$5:$B$8,2,FALSE()),0)</f>
        <v>0.5</v>
      </c>
    </row>
    <row r="23" ht="34.5" customHeight="1">
      <c r="A23" s="76" t="s">
        <v>205</v>
      </c>
      <c r="B23" s="77" t="s">
        <v>202</v>
      </c>
      <c r="C23" s="78" t="s">
        <v>206</v>
      </c>
      <c r="D23" s="79" t="s">
        <v>207</v>
      </c>
      <c r="E23" s="80" t="s">
        <v>208</v>
      </c>
      <c r="F23" s="81" t="s">
        <v>144</v>
      </c>
      <c r="G23" s="82" t="s">
        <v>74</v>
      </c>
      <c r="H23" s="83" t="str">
        <f t="array" ref="H23">IFERROR(INDEX(Tracker!$I$9:$I$31,MATCH(G23,Tracker!$A$9:$A$31,0)),"")</f>
        <v>In progress</v>
      </c>
      <c r="I23" s="84" t="s">
        <v>16</v>
      </c>
      <c r="J23" s="85">
        <f>IFERROR(VLOOKUP(I23,Lists!$A$5:$B$8,2,FALSE()),0)</f>
        <v>0.5</v>
      </c>
    </row>
    <row r="24" ht="34.5" customHeight="1">
      <c r="A24" s="76" t="s">
        <v>209</v>
      </c>
      <c r="B24" s="77" t="s">
        <v>202</v>
      </c>
      <c r="C24" s="78" t="s">
        <v>198</v>
      </c>
      <c r="D24" s="79" t="s">
        <v>210</v>
      </c>
      <c r="E24" s="80" t="s">
        <v>211</v>
      </c>
      <c r="F24" s="81" t="s">
        <v>144</v>
      </c>
      <c r="G24" s="82" t="s">
        <v>74</v>
      </c>
      <c r="H24" s="83" t="str">
        <f t="array" ref="H24">IFERROR(INDEX(Tracker!$I$9:$I$31,MATCH(G24,Tracker!$A$9:$A$31,0)),"")</f>
        <v>In progress</v>
      </c>
      <c r="I24" s="84" t="s">
        <v>16</v>
      </c>
      <c r="J24" s="85">
        <f>IFERROR(VLOOKUP(I24,Lists!$A$5:$B$8,2,FALSE()),0)</f>
        <v>0.5</v>
      </c>
    </row>
    <row r="25" ht="48.0" customHeight="1">
      <c r="A25" s="76" t="s">
        <v>212</v>
      </c>
      <c r="B25" s="77" t="s">
        <v>202</v>
      </c>
      <c r="C25" s="78" t="s">
        <v>206</v>
      </c>
      <c r="D25" s="79" t="s">
        <v>213</v>
      </c>
      <c r="E25" s="80" t="s">
        <v>214</v>
      </c>
      <c r="F25" s="81" t="s">
        <v>144</v>
      </c>
      <c r="G25" s="82" t="s">
        <v>77</v>
      </c>
      <c r="H25" s="83" t="str">
        <f t="array" ref="H25">IFERROR(INDEX(Tracker!$I$9:$I$31,MATCH(G25,Tracker!$A$9:$A$31,0)),"")</f>
        <v>In progress</v>
      </c>
      <c r="I25" s="84" t="s">
        <v>16</v>
      </c>
      <c r="J25" s="85">
        <f>IFERROR(VLOOKUP(I25,Lists!$A$5:$B$8,2,FALSE()),0)</f>
        <v>0.5</v>
      </c>
    </row>
    <row r="26" ht="34.5" customHeight="1">
      <c r="A26" s="76" t="s">
        <v>215</v>
      </c>
      <c r="B26" s="77" t="s">
        <v>202</v>
      </c>
      <c r="C26" s="78" t="s">
        <v>181</v>
      </c>
      <c r="D26" s="79" t="s">
        <v>216</v>
      </c>
      <c r="E26" s="80" t="s">
        <v>217</v>
      </c>
      <c r="F26" s="81" t="s">
        <v>144</v>
      </c>
      <c r="G26" s="82" t="s">
        <v>80</v>
      </c>
      <c r="H26" s="83" t="str">
        <f t="array" ref="H26">IFERROR(INDEX(Tracker!$I$9:$I$31,MATCH(G26,Tracker!$A$9:$A$31,0)),"")</f>
        <v>In progress</v>
      </c>
      <c r="I26" s="84" t="s">
        <v>16</v>
      </c>
      <c r="J26" s="85">
        <f>IFERROR(VLOOKUP(I26,Lists!$A$5:$B$8,2,FALSE()),0)</f>
        <v>0.5</v>
      </c>
    </row>
    <row r="27" ht="34.5" customHeight="1">
      <c r="A27" s="76" t="s">
        <v>218</v>
      </c>
      <c r="B27" s="77" t="s">
        <v>202</v>
      </c>
      <c r="C27" s="78" t="s">
        <v>181</v>
      </c>
      <c r="D27" s="79" t="s">
        <v>219</v>
      </c>
      <c r="E27" s="80" t="s">
        <v>220</v>
      </c>
      <c r="F27" s="81" t="s">
        <v>158</v>
      </c>
      <c r="G27" s="82" t="s">
        <v>80</v>
      </c>
      <c r="H27" s="83" t="str">
        <f t="array" ref="H27">IFERROR(INDEX(Tracker!$I$9:$I$31,MATCH(G27,Tracker!$A$9:$A$31,0)),"")</f>
        <v>In progress</v>
      </c>
      <c r="I27" s="84" t="s">
        <v>16</v>
      </c>
      <c r="J27" s="85">
        <f>IFERROR(VLOOKUP(I27,Lists!$A$5:$B$8,2,FALSE()),0)</f>
        <v>0.5</v>
      </c>
    </row>
    <row r="28" ht="34.5" customHeight="1">
      <c r="A28" s="76" t="s">
        <v>221</v>
      </c>
      <c r="B28" s="77" t="s">
        <v>222</v>
      </c>
      <c r="C28" s="78" t="s">
        <v>181</v>
      </c>
      <c r="D28" s="79" t="s">
        <v>223</v>
      </c>
      <c r="E28" s="80" t="s">
        <v>224</v>
      </c>
      <c r="F28" s="81" t="s">
        <v>158</v>
      </c>
      <c r="G28" s="82" t="s">
        <v>83</v>
      </c>
      <c r="H28" s="83" t="str">
        <f t="array" ref="H28">IFERROR(INDEX(Tracker!$I$9:$I$31,MATCH(G28,Tracker!$A$9:$A$31,0)),"")</f>
        <v>In progress</v>
      </c>
      <c r="I28" s="84" t="s">
        <v>16</v>
      </c>
      <c r="J28" s="85">
        <f>IFERROR(VLOOKUP(I28,Lists!$A$5:$B$8,2,FALSE()),0)</f>
        <v>0.5</v>
      </c>
    </row>
    <row r="29" ht="34.5" customHeight="1">
      <c r="A29" s="76" t="s">
        <v>225</v>
      </c>
      <c r="B29" s="77" t="s">
        <v>222</v>
      </c>
      <c r="C29" s="78" t="s">
        <v>181</v>
      </c>
      <c r="D29" s="79" t="s">
        <v>226</v>
      </c>
      <c r="E29" s="80" t="s">
        <v>227</v>
      </c>
      <c r="F29" s="81" t="s">
        <v>144</v>
      </c>
      <c r="G29" s="82" t="s">
        <v>83</v>
      </c>
      <c r="H29" s="83" t="str">
        <f t="array" ref="H29">IFERROR(INDEX(Tracker!$I$9:$I$31,MATCH(G29,Tracker!$A$9:$A$31,0)),"")</f>
        <v>In progress</v>
      </c>
      <c r="I29" s="84" t="s">
        <v>16</v>
      </c>
      <c r="J29" s="85">
        <f>IFERROR(VLOOKUP(I29,Lists!$A$5:$B$8,2,FALSE()),0)</f>
        <v>0.5</v>
      </c>
    </row>
    <row r="30" ht="48.0" customHeight="1">
      <c r="A30" s="76" t="s">
        <v>228</v>
      </c>
      <c r="B30" s="77" t="s">
        <v>222</v>
      </c>
      <c r="C30" s="78" t="s">
        <v>181</v>
      </c>
      <c r="D30" s="79" t="s">
        <v>229</v>
      </c>
      <c r="E30" s="80" t="s">
        <v>230</v>
      </c>
      <c r="F30" s="81" t="s">
        <v>144</v>
      </c>
      <c r="G30" s="82" t="s">
        <v>83</v>
      </c>
      <c r="H30" s="83" t="str">
        <f t="array" ref="H30">IFERROR(INDEX(Tracker!$I$9:$I$31,MATCH(G30,Tracker!$A$9:$A$31,0)),"")</f>
        <v>In progress</v>
      </c>
      <c r="I30" s="84" t="s">
        <v>16</v>
      </c>
      <c r="J30" s="85">
        <f>IFERROR(VLOOKUP(I30,Lists!$A$5:$B$8,2,FALSE()),0)</f>
        <v>0.5</v>
      </c>
    </row>
    <row r="31" ht="34.5" customHeight="1">
      <c r="A31" s="76" t="s">
        <v>231</v>
      </c>
      <c r="B31" s="77" t="s">
        <v>222</v>
      </c>
      <c r="C31" s="78" t="s">
        <v>181</v>
      </c>
      <c r="D31" s="79" t="s">
        <v>232</v>
      </c>
      <c r="E31" s="80" t="s">
        <v>233</v>
      </c>
      <c r="F31" s="81" t="s">
        <v>144</v>
      </c>
      <c r="G31" s="82" t="s">
        <v>95</v>
      </c>
      <c r="H31" s="83" t="str">
        <f t="array" ref="H31">IFERROR(INDEX(Tracker!$I$9:$I$31,MATCH(G31,Tracker!$A$9:$A$31,0)),"")</f>
        <v>In progress</v>
      </c>
      <c r="I31" s="84" t="s">
        <v>16</v>
      </c>
      <c r="J31" s="85">
        <f>IFERROR(VLOOKUP(I31,Lists!$A$5:$B$8,2,FALSE()),0)</f>
        <v>0.5</v>
      </c>
    </row>
    <row r="32" ht="34.5" customHeight="1">
      <c r="A32" s="76" t="s">
        <v>234</v>
      </c>
      <c r="B32" s="77" t="s">
        <v>222</v>
      </c>
      <c r="C32" s="78" t="s">
        <v>181</v>
      </c>
      <c r="D32" s="79" t="s">
        <v>235</v>
      </c>
      <c r="E32" s="80" t="s">
        <v>236</v>
      </c>
      <c r="F32" s="81" t="s">
        <v>144</v>
      </c>
      <c r="G32" s="82" t="s">
        <v>95</v>
      </c>
      <c r="H32" s="83" t="str">
        <f t="array" ref="H32">IFERROR(INDEX(Tracker!$I$9:$I$31,MATCH(G32,Tracker!$A$9:$A$31,0)),"")</f>
        <v>In progress</v>
      </c>
      <c r="I32" s="84" t="s">
        <v>16</v>
      </c>
      <c r="J32" s="85">
        <f>IFERROR(VLOOKUP(I32,Lists!$A$5:$B$8,2,FALSE()),0)</f>
        <v>0.5</v>
      </c>
    </row>
    <row r="33" ht="48.0" customHeight="1">
      <c r="A33" s="76" t="s">
        <v>237</v>
      </c>
      <c r="B33" s="77" t="s">
        <v>238</v>
      </c>
      <c r="C33" s="78" t="s">
        <v>181</v>
      </c>
      <c r="D33" s="79" t="s">
        <v>239</v>
      </c>
      <c r="E33" s="80" t="s">
        <v>240</v>
      </c>
      <c r="F33" s="81" t="s">
        <v>144</v>
      </c>
      <c r="G33" s="82" t="s">
        <v>86</v>
      </c>
      <c r="H33" s="83" t="str">
        <f t="array" ref="H33">IFERROR(INDEX(Tracker!$I$9:$I$31,MATCH(G33,Tracker!$A$9:$A$31,0)),"")</f>
        <v>In progress</v>
      </c>
      <c r="I33" s="84" t="s">
        <v>16</v>
      </c>
      <c r="J33" s="85">
        <f>IFERROR(VLOOKUP(I33,Lists!$A$5:$B$8,2,FALSE()),0)</f>
        <v>0.5</v>
      </c>
    </row>
    <row r="34" ht="34.5" customHeight="1">
      <c r="A34" s="76" t="s">
        <v>241</v>
      </c>
      <c r="B34" s="77" t="s">
        <v>238</v>
      </c>
      <c r="C34" s="78" t="s">
        <v>181</v>
      </c>
      <c r="D34" s="79" t="s">
        <v>242</v>
      </c>
      <c r="E34" s="80" t="s">
        <v>243</v>
      </c>
      <c r="F34" s="81" t="s">
        <v>144</v>
      </c>
      <c r="G34" s="82" t="s">
        <v>86</v>
      </c>
      <c r="H34" s="83" t="str">
        <f t="array" ref="H34">IFERROR(INDEX(Tracker!$I$9:$I$31,MATCH(G34,Tracker!$A$9:$A$31,0)),"")</f>
        <v>In progress</v>
      </c>
      <c r="I34" s="84" t="s">
        <v>16</v>
      </c>
      <c r="J34" s="85">
        <f>IFERROR(VLOOKUP(I34,Lists!$A$5:$B$8,2,FALSE()),0)</f>
        <v>0.5</v>
      </c>
    </row>
    <row r="35" ht="34.5" customHeight="1">
      <c r="A35" s="76" t="s">
        <v>244</v>
      </c>
      <c r="B35" s="77" t="s">
        <v>238</v>
      </c>
      <c r="C35" s="78" t="s">
        <v>141</v>
      </c>
      <c r="D35" s="79" t="s">
        <v>245</v>
      </c>
      <c r="E35" s="80" t="s">
        <v>246</v>
      </c>
      <c r="F35" s="81" t="s">
        <v>144</v>
      </c>
      <c r="G35" s="82" t="s">
        <v>86</v>
      </c>
      <c r="H35" s="83" t="str">
        <f t="array" ref="H35">IFERROR(INDEX(Tracker!$I$9:$I$31,MATCH(G35,Tracker!$A$9:$A$31,0)),"")</f>
        <v>In progress</v>
      </c>
      <c r="I35" s="84" t="s">
        <v>16</v>
      </c>
      <c r="J35" s="85">
        <f>IFERROR(VLOOKUP(I35,Lists!$A$5:$B$8,2,FALSE()),0)</f>
        <v>0.5</v>
      </c>
    </row>
    <row r="36" ht="48.0" customHeight="1">
      <c r="A36" s="76" t="s">
        <v>247</v>
      </c>
      <c r="B36" s="77" t="s">
        <v>238</v>
      </c>
      <c r="C36" s="78" t="s">
        <v>181</v>
      </c>
      <c r="D36" s="79" t="s">
        <v>248</v>
      </c>
      <c r="E36" s="80" t="s">
        <v>249</v>
      </c>
      <c r="F36" s="81" t="s">
        <v>144</v>
      </c>
      <c r="G36" s="82" t="s">
        <v>89</v>
      </c>
      <c r="H36" s="83" t="str">
        <f t="array" ref="H36">IFERROR(INDEX(Tracker!$I$9:$I$31,MATCH(G36,Tracker!$A$9:$A$31,0)),"")</f>
        <v>In progress</v>
      </c>
      <c r="I36" s="84" t="s">
        <v>16</v>
      </c>
      <c r="J36" s="85">
        <f>IFERROR(VLOOKUP(I36,Lists!$A$5:$B$8,2,FALSE()),0)</f>
        <v>0.5</v>
      </c>
    </row>
    <row r="37" ht="34.5" customHeight="1">
      <c r="A37" s="76" t="s">
        <v>250</v>
      </c>
      <c r="B37" s="77" t="s">
        <v>238</v>
      </c>
      <c r="C37" s="78" t="s">
        <v>181</v>
      </c>
      <c r="D37" s="79" t="s">
        <v>251</v>
      </c>
      <c r="E37" s="80" t="s">
        <v>252</v>
      </c>
      <c r="F37" s="81" t="s">
        <v>158</v>
      </c>
      <c r="G37" s="82" t="s">
        <v>89</v>
      </c>
      <c r="H37" s="83" t="str">
        <f t="array" ref="H37">IFERROR(INDEX(Tracker!$I$9:$I$31,MATCH(G37,Tracker!$A$9:$A$31,0)),"")</f>
        <v>In progress</v>
      </c>
      <c r="I37" s="84" t="s">
        <v>16</v>
      </c>
      <c r="J37" s="85">
        <f>IFERROR(VLOOKUP(I37,Lists!$A$5:$B$8,2,FALSE()),0)</f>
        <v>0.5</v>
      </c>
    </row>
    <row r="38" ht="34.5" customHeight="1">
      <c r="A38" s="76" t="s">
        <v>253</v>
      </c>
      <c r="B38" s="77" t="s">
        <v>254</v>
      </c>
      <c r="C38" s="78" t="s">
        <v>181</v>
      </c>
      <c r="D38" s="79" t="s">
        <v>255</v>
      </c>
      <c r="E38" s="80" t="s">
        <v>256</v>
      </c>
      <c r="F38" s="81" t="s">
        <v>158</v>
      </c>
      <c r="G38" s="82" t="s">
        <v>92</v>
      </c>
      <c r="H38" s="83" t="str">
        <f t="array" ref="H38">IFERROR(INDEX(Tracker!$I$9:$I$31,MATCH(G38,Tracker!$A$9:$A$31,0)),"")</f>
        <v>In progress</v>
      </c>
      <c r="I38" s="84" t="s">
        <v>16</v>
      </c>
      <c r="J38" s="85">
        <f>IFERROR(VLOOKUP(I38,Lists!$A$5:$B$8,2,FALSE()),0)</f>
        <v>0.5</v>
      </c>
    </row>
    <row r="39" ht="48.0" customHeight="1">
      <c r="A39" s="76" t="s">
        <v>257</v>
      </c>
      <c r="B39" s="77" t="s">
        <v>254</v>
      </c>
      <c r="C39" s="78" t="s">
        <v>181</v>
      </c>
      <c r="D39" s="79" t="s">
        <v>258</v>
      </c>
      <c r="E39" s="80" t="s">
        <v>259</v>
      </c>
      <c r="F39" s="81" t="s">
        <v>144</v>
      </c>
      <c r="G39" s="82" t="s">
        <v>92</v>
      </c>
      <c r="H39" s="83" t="str">
        <f t="array" ref="H39">IFERROR(INDEX(Tracker!$I$9:$I$31,MATCH(G39,Tracker!$A$9:$A$31,0)),"")</f>
        <v>In progress</v>
      </c>
      <c r="I39" s="84" t="s">
        <v>16</v>
      </c>
      <c r="J39" s="85">
        <f>IFERROR(VLOOKUP(I39,Lists!$A$5:$B$8,2,FALSE()),0)</f>
        <v>0.5</v>
      </c>
    </row>
    <row r="40" ht="34.5" customHeight="1">
      <c r="A40" s="76" t="s">
        <v>260</v>
      </c>
      <c r="B40" s="77" t="s">
        <v>261</v>
      </c>
      <c r="C40" s="78" t="s">
        <v>141</v>
      </c>
      <c r="D40" s="79" t="s">
        <v>262</v>
      </c>
      <c r="E40" s="80" t="s">
        <v>263</v>
      </c>
      <c r="F40" s="81" t="s">
        <v>158</v>
      </c>
      <c r="G40" s="82" t="s">
        <v>98</v>
      </c>
      <c r="H40" s="83" t="str">
        <f t="array" ref="H40">IFERROR(INDEX(Tracker!$I$9:$I$31,MATCH(G40,Tracker!$A$9:$A$31,0)),"")</f>
        <v>In progress</v>
      </c>
      <c r="I40" s="84" t="s">
        <v>16</v>
      </c>
      <c r="J40" s="85">
        <f>IFERROR(VLOOKUP(I40,Lists!$A$5:$B$8,2,FALSE()),0)</f>
        <v>0.5</v>
      </c>
    </row>
    <row r="41" ht="48.0" customHeight="1">
      <c r="A41" s="76" t="s">
        <v>264</v>
      </c>
      <c r="B41" s="77" t="s">
        <v>261</v>
      </c>
      <c r="C41" s="78" t="s">
        <v>181</v>
      </c>
      <c r="D41" s="79" t="s">
        <v>265</v>
      </c>
      <c r="E41" s="80" t="s">
        <v>266</v>
      </c>
      <c r="F41" s="81" t="s">
        <v>144</v>
      </c>
      <c r="G41" s="82" t="s">
        <v>98</v>
      </c>
      <c r="H41" s="83" t="str">
        <f t="array" ref="H41">IFERROR(INDEX(Tracker!$I$9:$I$31,MATCH(G41,Tracker!$A$9:$A$31,0)),"")</f>
        <v>In progress</v>
      </c>
      <c r="I41" s="84" t="s">
        <v>16</v>
      </c>
      <c r="J41" s="85">
        <f>IFERROR(VLOOKUP(I41,Lists!$A$5:$B$8,2,FALSE()),0)</f>
        <v>0.5</v>
      </c>
    </row>
    <row r="42" ht="34.5" customHeight="1">
      <c r="A42" s="76" t="s">
        <v>267</v>
      </c>
      <c r="B42" s="77" t="s">
        <v>261</v>
      </c>
      <c r="C42" s="78" t="s">
        <v>146</v>
      </c>
      <c r="D42" s="79" t="s">
        <v>268</v>
      </c>
      <c r="E42" s="80" t="s">
        <v>269</v>
      </c>
      <c r="F42" s="81" t="s">
        <v>270</v>
      </c>
      <c r="G42" s="82" t="s">
        <v>98</v>
      </c>
      <c r="H42" s="83" t="str">
        <f t="array" ref="H42">IFERROR(INDEX(Tracker!$I$9:$I$31,MATCH(G42,Tracker!$A$9:$A$31,0)),"")</f>
        <v>In progress</v>
      </c>
      <c r="I42" s="84" t="s">
        <v>16</v>
      </c>
      <c r="J42" s="85">
        <f>IFERROR(VLOOKUP(I42,Lists!$A$5:$B$8,2,FALSE()),0)</f>
        <v>0.5</v>
      </c>
    </row>
    <row r="43" ht="34.5" customHeight="1">
      <c r="A43" s="76" t="s">
        <v>271</v>
      </c>
      <c r="B43" s="77" t="s">
        <v>272</v>
      </c>
      <c r="C43" s="78" t="s">
        <v>206</v>
      </c>
      <c r="D43" s="79" t="s">
        <v>273</v>
      </c>
      <c r="E43" s="80" t="s">
        <v>274</v>
      </c>
      <c r="F43" s="81" t="s">
        <v>144</v>
      </c>
      <c r="G43" s="82" t="s">
        <v>101</v>
      </c>
      <c r="H43" s="83" t="str">
        <f t="array" ref="H43">IFERROR(INDEX(Tracker!$I$9:$I$31,MATCH(G43,Tracker!$A$9:$A$31,0)),"")</f>
        <v>In progress</v>
      </c>
      <c r="I43" s="84" t="s">
        <v>16</v>
      </c>
      <c r="J43" s="85">
        <f>IFERROR(VLOOKUP(I43,Lists!$A$5:$B$8,2,FALSE()),0)</f>
        <v>0.5</v>
      </c>
    </row>
    <row r="44" ht="34.5" customHeight="1">
      <c r="A44" s="76" t="s">
        <v>275</v>
      </c>
      <c r="B44" s="77" t="s">
        <v>272</v>
      </c>
      <c r="C44" s="78" t="s">
        <v>206</v>
      </c>
      <c r="D44" s="79" t="s">
        <v>276</v>
      </c>
      <c r="E44" s="80" t="s">
        <v>277</v>
      </c>
      <c r="F44" s="81" t="s">
        <v>144</v>
      </c>
      <c r="G44" s="82" t="s">
        <v>101</v>
      </c>
      <c r="H44" s="83" t="str">
        <f t="array" ref="H44">IFERROR(INDEX(Tracker!$I$9:$I$31,MATCH(G44,Tracker!$A$9:$A$31,0)),"")</f>
        <v>In progress</v>
      </c>
      <c r="I44" s="84" t="s">
        <v>16</v>
      </c>
      <c r="J44" s="85">
        <f>IFERROR(VLOOKUP(I44,Lists!$A$5:$B$8,2,FALSE()),0)</f>
        <v>0.5</v>
      </c>
    </row>
    <row r="45" ht="34.5" customHeight="1">
      <c r="A45" s="76" t="s">
        <v>278</v>
      </c>
      <c r="B45" s="77" t="s">
        <v>272</v>
      </c>
      <c r="C45" s="78" t="s">
        <v>198</v>
      </c>
      <c r="D45" s="79" t="s">
        <v>279</v>
      </c>
      <c r="E45" s="80" t="s">
        <v>280</v>
      </c>
      <c r="F45" s="81" t="s">
        <v>144</v>
      </c>
      <c r="G45" s="82" t="s">
        <v>101</v>
      </c>
      <c r="H45" s="83" t="str">
        <f t="array" ref="H45">IFERROR(INDEX(Tracker!$I$9:$I$31,MATCH(G45,Tracker!$A$9:$A$31,0)),"")</f>
        <v>In progress</v>
      </c>
      <c r="I45" s="84" t="s">
        <v>16</v>
      </c>
      <c r="J45" s="85">
        <f>IFERROR(VLOOKUP(I45,Lists!$A$5:$B$8,2,FALSE()),0)</f>
        <v>0.5</v>
      </c>
    </row>
    <row r="46" ht="48.0" customHeight="1">
      <c r="A46" s="76" t="s">
        <v>281</v>
      </c>
      <c r="B46" s="77" t="s">
        <v>282</v>
      </c>
      <c r="C46" s="78" t="s">
        <v>283</v>
      </c>
      <c r="D46" s="79" t="s">
        <v>284</v>
      </c>
      <c r="E46" s="80" t="s">
        <v>285</v>
      </c>
      <c r="F46" s="81" t="s">
        <v>158</v>
      </c>
      <c r="G46" s="82" t="s">
        <v>104</v>
      </c>
      <c r="H46" s="83" t="str">
        <f t="array" ref="H46">IFERROR(INDEX(Tracker!$I$9:$I$31,MATCH(G46,Tracker!$A$9:$A$31,0)),"")</f>
        <v>In progress</v>
      </c>
      <c r="I46" s="84" t="s">
        <v>16</v>
      </c>
      <c r="J46" s="85">
        <f>IFERROR(VLOOKUP(I46,Lists!$A$5:$B$8,2,FALSE()),0)</f>
        <v>0.5</v>
      </c>
    </row>
    <row r="47" ht="34.5" customHeight="1">
      <c r="A47" s="76" t="s">
        <v>286</v>
      </c>
      <c r="B47" s="77" t="s">
        <v>282</v>
      </c>
      <c r="C47" s="78" t="s">
        <v>283</v>
      </c>
      <c r="D47" s="79" t="s">
        <v>287</v>
      </c>
      <c r="E47" s="80" t="s">
        <v>288</v>
      </c>
      <c r="F47" s="81" t="s">
        <v>158</v>
      </c>
      <c r="G47" s="82" t="s">
        <v>104</v>
      </c>
      <c r="H47" s="83" t="str">
        <f t="array" ref="H47">IFERROR(INDEX(Tracker!$I$9:$I$31,MATCH(G47,Tracker!$A$9:$A$31,0)),"")</f>
        <v>In progress</v>
      </c>
      <c r="I47" s="84" t="s">
        <v>16</v>
      </c>
      <c r="J47" s="85">
        <f>IFERROR(VLOOKUP(I47,Lists!$A$5:$B$8,2,FALSE()),0)</f>
        <v>0.5</v>
      </c>
    </row>
    <row r="48" ht="48.0" customHeight="1">
      <c r="A48" s="76" t="s">
        <v>289</v>
      </c>
      <c r="B48" s="77" t="s">
        <v>282</v>
      </c>
      <c r="C48" s="78" t="s">
        <v>141</v>
      </c>
      <c r="D48" s="79" t="s">
        <v>290</v>
      </c>
      <c r="E48" s="80" t="s">
        <v>291</v>
      </c>
      <c r="F48" s="81" t="s">
        <v>270</v>
      </c>
      <c r="G48" s="82" t="s">
        <v>107</v>
      </c>
      <c r="H48" s="83" t="str">
        <f t="array" ref="H48">IFERROR(INDEX(Tracker!$I$9:$I$31,MATCH(G48,Tracker!$A$9:$A$31,0)),"")</f>
        <v>In progress</v>
      </c>
      <c r="I48" s="84" t="s">
        <v>16</v>
      </c>
      <c r="J48" s="85">
        <f>IFERROR(VLOOKUP(I48,Lists!$A$5:$B$8,2,FALSE()),0)</f>
        <v>0.5</v>
      </c>
    </row>
    <row r="49" ht="34.5" customHeight="1">
      <c r="A49" s="76" t="s">
        <v>292</v>
      </c>
      <c r="B49" s="77" t="s">
        <v>293</v>
      </c>
      <c r="C49" s="78" t="s">
        <v>294</v>
      </c>
      <c r="D49" s="79" t="s">
        <v>295</v>
      </c>
      <c r="E49" s="80" t="s">
        <v>296</v>
      </c>
      <c r="F49" s="81" t="s">
        <v>144</v>
      </c>
      <c r="G49" s="82" t="s">
        <v>110</v>
      </c>
      <c r="H49" s="83" t="str">
        <f t="array" ref="H49">IFERROR(INDEX(Tracker!$I$9:$I$31,MATCH(G49,Tracker!$A$9:$A$31,0)),"")</f>
        <v>Not started</v>
      </c>
      <c r="I49" s="84" t="s">
        <v>20</v>
      </c>
      <c r="J49" s="85">
        <f>IFERROR(VLOOKUP(I49,Lists!$A$5:$B$8,2,FALSE()),0)</f>
        <v>0</v>
      </c>
    </row>
    <row r="50" ht="34.5" customHeight="1">
      <c r="A50" s="76" t="s">
        <v>297</v>
      </c>
      <c r="B50" s="77" t="s">
        <v>293</v>
      </c>
      <c r="C50" s="78" t="s">
        <v>294</v>
      </c>
      <c r="D50" s="79" t="s">
        <v>298</v>
      </c>
      <c r="E50" s="80" t="s">
        <v>299</v>
      </c>
      <c r="F50" s="81" t="s">
        <v>144</v>
      </c>
      <c r="G50" s="82" t="s">
        <v>113</v>
      </c>
      <c r="H50" s="83" t="str">
        <f t="array" ref="H50">IFERROR(INDEX(Tracker!$I$9:$I$31,MATCH(G50,Tracker!$A$9:$A$31,0)),"")</f>
        <v>Not started</v>
      </c>
      <c r="I50" s="84" t="s">
        <v>20</v>
      </c>
      <c r="J50" s="85">
        <f>IFERROR(VLOOKUP(I50,Lists!$A$5:$B$8,2,FALSE()),0)</f>
        <v>0</v>
      </c>
    </row>
    <row r="51" ht="15.75" customHeight="1"/>
    <row r="52" ht="15.75" customHeight="1">
      <c r="A52" s="33" t="s">
        <v>300</v>
      </c>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F5:F50">
    <cfRule type="cellIs" dxfId="16" priority="1" operator="equal">
      <formula>"Must"</formula>
    </cfRule>
  </conditionalFormatting>
  <conditionalFormatting sqref="F5:F50">
    <cfRule type="cellIs" dxfId="17" priority="2" operator="equal">
      <formula>"Should"</formula>
    </cfRule>
  </conditionalFormatting>
  <conditionalFormatting sqref="F5:F50">
    <cfRule type="cellIs" dxfId="18" priority="3" operator="equal">
      <formula>"Could"</formula>
    </cfRule>
  </conditionalFormatting>
  <conditionalFormatting sqref="I5:I50">
    <cfRule type="cellIs" dxfId="16" priority="4" operator="equal">
      <formula>"Done"</formula>
    </cfRule>
  </conditionalFormatting>
  <conditionalFormatting sqref="I5:I50">
    <cfRule type="cellIs" dxfId="17" priority="5" operator="equal">
      <formula>"In progress"</formula>
    </cfRule>
  </conditionalFormatting>
  <conditionalFormatting sqref="I5:I50">
    <cfRule type="cellIs" dxfId="19" priority="6" operator="equal">
      <formula>"In testing"</formula>
    </cfRule>
  </conditionalFormatting>
  <conditionalFormatting sqref="I5:I50">
    <cfRule type="cellIs" dxfId="20" priority="7" operator="equal">
      <formula>"Not started"</formula>
    </cfRule>
  </conditionalFormatting>
  <conditionalFormatting sqref="A5:E50">
    <cfRule type="expression" dxfId="12" priority="8">
      <formula>MOD(ROW(),2)=0</formula>
    </cfRule>
  </conditionalFormatting>
  <dataValidations>
    <dataValidation type="list" allowBlank="1" sqref="G5:G50">
      <formula1>Tracker!$A$9:$A$31</formula1>
    </dataValidation>
    <dataValidation type="list" allowBlank="1" sqref="F5:F50">
      <formula1>"Must,Should,Could"</formula1>
    </dataValidation>
    <dataValidation type="list" allowBlank="1" showInputMessage="1" showErrorMessage="1" prompt="Status - Pick a status from the list." sqref="I5:I50">
      <formula1>Lists!$A$5:$A$8</formula1>
    </dataValidation>
  </dataValidations>
  <printOptions/>
  <pageMargins bottom="1.0" footer="0.0" header="0.0" left="0.75" right="0.75" top="1.0"/>
  <pageSetup fitToHeight="0" orientation="landscape"/>
  <headerFooter>
    <oddFooter>&amp;L Project Owner: Louren Isobel Rubico&amp;R Page &amp;P of </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8A33D"/>
    <pageSetUpPr fitToPage="1"/>
  </sheetPr>
  <sheetViews>
    <sheetView showGridLines="0" workbookViewId="0"/>
  </sheetViews>
  <sheetFormatPr customHeight="1" defaultColWidth="14.43" defaultRowHeight="15.0"/>
  <cols>
    <col customWidth="1" min="1" max="1" width="28.0"/>
    <col customWidth="1" min="2" max="2" width="12.0"/>
    <col customWidth="1" min="3" max="3" width="14.0"/>
    <col customWidth="1" min="4" max="16" width="11.0"/>
  </cols>
  <sheetData>
    <row r="1" ht="36.0" customHeight="1">
      <c r="A1" s="34" t="s">
        <v>301</v>
      </c>
      <c r="B1" s="2"/>
      <c r="C1" s="2"/>
      <c r="D1" s="2"/>
      <c r="E1" s="2"/>
      <c r="F1" s="2"/>
      <c r="G1" s="2"/>
      <c r="H1" s="2"/>
      <c r="I1" s="2"/>
      <c r="J1" s="2"/>
      <c r="K1" s="2"/>
      <c r="L1" s="2"/>
      <c r="M1" s="2"/>
      <c r="N1" s="2"/>
      <c r="O1" s="2"/>
      <c r="P1" s="2"/>
    </row>
    <row r="2" ht="21.75" customHeight="1">
      <c r="A2" s="35" t="str">
        <f>"Project Owner: "&amp;Tracker!$C$3&amp;"   |   Counts and progress of the user stories (linked to the User Stories sheet)"</f>
        <v>Project Owner: Thea Consignado   |   Counts and progress of the user stories (linked to the User Stories sheet)</v>
      </c>
      <c r="B2" s="2"/>
      <c r="C2" s="2"/>
      <c r="D2" s="2"/>
      <c r="E2" s="2"/>
      <c r="F2" s="2"/>
      <c r="G2" s="2"/>
      <c r="H2" s="2"/>
      <c r="I2" s="2"/>
      <c r="J2" s="2"/>
      <c r="K2" s="2"/>
      <c r="L2" s="2"/>
      <c r="M2" s="2"/>
      <c r="N2" s="2"/>
      <c r="O2" s="2"/>
      <c r="P2" s="2"/>
    </row>
    <row r="4" ht="24.0" customHeight="1">
      <c r="A4" s="16" t="s">
        <v>302</v>
      </c>
      <c r="B4" s="17"/>
      <c r="C4" s="17"/>
    </row>
    <row r="5">
      <c r="A5" s="27" t="s">
        <v>303</v>
      </c>
      <c r="B5" s="86">
        <f>COUNTA('User Stories'!$A$5:$A$50)</f>
        <v>46</v>
      </c>
    </row>
    <row r="6">
      <c r="A6" s="27" t="s">
        <v>304</v>
      </c>
      <c r="B6" s="86">
        <f>COUNTIF('User Stories'!$F$5:$F$50,"Must")</f>
        <v>31</v>
      </c>
    </row>
    <row r="7">
      <c r="A7" s="27" t="s">
        <v>305</v>
      </c>
      <c r="B7" s="86">
        <f>COUNTIF('User Stories'!$F$5:$F$50,"Should")</f>
        <v>13</v>
      </c>
    </row>
    <row r="8">
      <c r="A8" s="27" t="s">
        <v>306</v>
      </c>
      <c r="B8" s="86">
        <f>COUNTIF('User Stories'!$F$5:$F$50,"Could")</f>
        <v>2</v>
      </c>
    </row>
    <row r="9">
      <c r="A9" s="27" t="s">
        <v>307</v>
      </c>
      <c r="B9" s="86">
        <f>COUNTIF('User Stories'!$I$5:$I$50,"Done")</f>
        <v>0</v>
      </c>
    </row>
    <row r="10">
      <c r="A10" s="27" t="s">
        <v>308</v>
      </c>
      <c r="B10" s="87">
        <f>AVERAGE('User Stories'!$J$5:$J$50)</f>
        <v>0.4782608696</v>
      </c>
    </row>
    <row r="13" ht="24.0" customHeight="1">
      <c r="A13" s="16" t="s">
        <v>309</v>
      </c>
      <c r="B13" s="17"/>
      <c r="C13" s="17"/>
    </row>
    <row r="14">
      <c r="A14" s="19" t="s">
        <v>132</v>
      </c>
      <c r="B14" s="19" t="s">
        <v>310</v>
      </c>
      <c r="C14" s="19" t="s">
        <v>311</v>
      </c>
    </row>
    <row r="15">
      <c r="A15" s="88" t="s">
        <v>140</v>
      </c>
      <c r="B15" s="21">
        <f>COUNTIF('User Stories'!$B$5:$B$50,A15)</f>
        <v>5</v>
      </c>
      <c r="C15" s="50">
        <f>IFERROR(SUMIFS('User Stories'!$J$5:$J$50,'User Stories'!$B$5:$B$50,A15)/B15,0)</f>
        <v>0.5</v>
      </c>
    </row>
    <row r="16">
      <c r="A16" s="88" t="s">
        <v>160</v>
      </c>
      <c r="B16" s="21">
        <f>COUNTIF('User Stories'!$B$5:$B$50,A16)</f>
        <v>3</v>
      </c>
      <c r="C16" s="50">
        <f>IFERROR(SUMIFS('User Stories'!$J$5:$J$50,'User Stories'!$B$5:$B$50,A16)/B16,0)</f>
        <v>0.5</v>
      </c>
    </row>
    <row r="17">
      <c r="A17" s="88" t="s">
        <v>170</v>
      </c>
      <c r="B17" s="21">
        <f>COUNTIF('User Stories'!$B$5:$B$50,A17)</f>
        <v>4</v>
      </c>
      <c r="C17" s="50">
        <f>IFERROR(SUMIFS('User Stories'!$J$5:$J$50,'User Stories'!$B$5:$B$50,A17)/B17,0)</f>
        <v>0.5</v>
      </c>
    </row>
    <row r="18">
      <c r="A18" s="88" t="s">
        <v>185</v>
      </c>
      <c r="B18" s="21">
        <f>COUNTIF('User Stories'!$B$5:$B$50,A18)</f>
        <v>5</v>
      </c>
      <c r="C18" s="50">
        <f>IFERROR(SUMIFS('User Stories'!$J$5:$J$50,'User Stories'!$B$5:$B$50,A18)/B18,0)</f>
        <v>0.5</v>
      </c>
    </row>
    <row r="19">
      <c r="A19" s="88" t="s">
        <v>202</v>
      </c>
      <c r="B19" s="21">
        <f>COUNTIF('User Stories'!$B$5:$B$50,A19)</f>
        <v>6</v>
      </c>
      <c r="C19" s="50">
        <f>IFERROR(SUMIFS('User Stories'!$J$5:$J$50,'User Stories'!$B$5:$B$50,A19)/B19,0)</f>
        <v>0.5</v>
      </c>
    </row>
    <row r="20">
      <c r="A20" s="88" t="s">
        <v>222</v>
      </c>
      <c r="B20" s="21">
        <f>COUNTIF('User Stories'!$B$5:$B$50,A20)</f>
        <v>5</v>
      </c>
      <c r="C20" s="50">
        <f>IFERROR(SUMIFS('User Stories'!$J$5:$J$50,'User Stories'!$B$5:$B$50,A20)/B20,0)</f>
        <v>0.5</v>
      </c>
    </row>
    <row r="21" ht="15.75" customHeight="1">
      <c r="A21" s="88" t="s">
        <v>238</v>
      </c>
      <c r="B21" s="21">
        <f>COUNTIF('User Stories'!$B$5:$B$50,A21)</f>
        <v>5</v>
      </c>
      <c r="C21" s="50">
        <f>IFERROR(SUMIFS('User Stories'!$J$5:$J$50,'User Stories'!$B$5:$B$50,A21)/B21,0)</f>
        <v>0.5</v>
      </c>
    </row>
    <row r="22" ht="15.75" customHeight="1">
      <c r="A22" s="88" t="s">
        <v>254</v>
      </c>
      <c r="B22" s="21">
        <f>COUNTIF('User Stories'!$B$5:$B$50,A22)</f>
        <v>2</v>
      </c>
      <c r="C22" s="50">
        <f>IFERROR(SUMIFS('User Stories'!$J$5:$J$50,'User Stories'!$B$5:$B$50,A22)/B22,0)</f>
        <v>0.5</v>
      </c>
    </row>
    <row r="23" ht="15.75" customHeight="1">
      <c r="A23" s="88" t="s">
        <v>261</v>
      </c>
      <c r="B23" s="21">
        <f>COUNTIF('User Stories'!$B$5:$B$50,A23)</f>
        <v>3</v>
      </c>
      <c r="C23" s="50">
        <f>IFERROR(SUMIFS('User Stories'!$J$5:$J$50,'User Stories'!$B$5:$B$50,A23)/B23,0)</f>
        <v>0.5</v>
      </c>
    </row>
    <row r="24" ht="15.75" customHeight="1">
      <c r="A24" s="88" t="s">
        <v>272</v>
      </c>
      <c r="B24" s="21">
        <f>COUNTIF('User Stories'!$B$5:$B$50,A24)</f>
        <v>3</v>
      </c>
      <c r="C24" s="50">
        <f>IFERROR(SUMIFS('User Stories'!$J$5:$J$50,'User Stories'!$B$5:$B$50,A24)/B24,0)</f>
        <v>0.5</v>
      </c>
    </row>
    <row r="25" ht="15.75" customHeight="1">
      <c r="A25" s="88" t="s">
        <v>282</v>
      </c>
      <c r="B25" s="21">
        <f>COUNTIF('User Stories'!$B$5:$B$50,A25)</f>
        <v>3</v>
      </c>
      <c r="C25" s="50">
        <f>IFERROR(SUMIFS('User Stories'!$J$5:$J$50,'User Stories'!$B$5:$B$50,A25)/B25,0)</f>
        <v>0.5</v>
      </c>
    </row>
    <row r="26" ht="15.75" customHeight="1">
      <c r="A26" s="88" t="s">
        <v>293</v>
      </c>
      <c r="B26" s="21">
        <f>COUNTIF('User Stories'!$B$5:$B$50,A26)</f>
        <v>2</v>
      </c>
      <c r="C26" s="50">
        <f>IFERROR(SUMIFS('User Stories'!$J$5:$J$50,'User Stories'!$B$5:$B$50,A26)/B26,0)</f>
        <v>0</v>
      </c>
    </row>
    <row r="27" ht="15.75" customHeight="1"/>
    <row r="28" ht="15.75" customHeight="1">
      <c r="A28" s="33" t="s">
        <v>312</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fitToHeight="0" orientation="landscape"/>
  <headerFooter>
    <oddFooter>&amp;L Project Owner: Louren Isobel Rubico&amp;R Page &amp;P of </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8A33D"/>
    <pageSetUpPr fitToPage="1"/>
  </sheetPr>
  <sheetViews>
    <sheetView showGridLines="0" workbookViewId="0"/>
  </sheetViews>
  <sheetFormatPr customHeight="1" defaultColWidth="14.43" defaultRowHeight="15.0"/>
  <cols>
    <col customWidth="1" min="1" max="2" width="20.0"/>
    <col customWidth="1" min="3" max="3" width="40.0"/>
    <col customWidth="1" min="4" max="6" width="8.71"/>
  </cols>
  <sheetData>
    <row r="1" ht="36.0" customHeight="1">
      <c r="A1" s="34" t="s">
        <v>313</v>
      </c>
      <c r="B1" s="2"/>
      <c r="C1" s="2"/>
      <c r="D1" s="2"/>
    </row>
    <row r="2" ht="21.75" customHeight="1">
      <c r="A2" s="35" t="str">
        <f>"Project Owner: "&amp;Tracker!$C$3&amp;"   |   Used by the Tracker and User Stories status dropdowns"</f>
        <v>Project Owner: Thea Consignado   |   Used by the Tracker and User Stories status dropdowns</v>
      </c>
      <c r="B2" s="2"/>
      <c r="C2" s="2"/>
      <c r="D2" s="2"/>
    </row>
    <row r="4">
      <c r="A4" s="19" t="s">
        <v>11</v>
      </c>
      <c r="B4" s="19" t="s">
        <v>314</v>
      </c>
      <c r="C4" s="19" t="s">
        <v>315</v>
      </c>
    </row>
    <row r="5" ht="24.0" customHeight="1">
      <c r="A5" s="26" t="s">
        <v>20</v>
      </c>
      <c r="B5" s="89">
        <v>0.0</v>
      </c>
      <c r="C5" s="90" t="s">
        <v>316</v>
      </c>
    </row>
    <row r="6" ht="24.0" customHeight="1">
      <c r="A6" s="23" t="s">
        <v>16</v>
      </c>
      <c r="B6" s="89">
        <v>0.5</v>
      </c>
      <c r="C6" s="90" t="s">
        <v>317</v>
      </c>
    </row>
    <row r="7" ht="24.0" customHeight="1">
      <c r="A7" s="24" t="s">
        <v>18</v>
      </c>
      <c r="B7" s="89">
        <v>0.8</v>
      </c>
      <c r="C7" s="90" t="s">
        <v>318</v>
      </c>
    </row>
    <row r="8" ht="24.0" customHeight="1">
      <c r="A8" s="20" t="s">
        <v>14</v>
      </c>
      <c r="B8" s="89">
        <v>1.0</v>
      </c>
      <c r="C8" s="90" t="s">
        <v>319</v>
      </c>
    </row>
    <row r="10">
      <c r="A10" s="33" t="s">
        <v>320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decimal" allowBlank="1" showInputMessage="1" showErrorMessage="1" prompt="Progress - Enter a value from 0% to 100%." sqref="B5:B8">
      <formula1>0.0</formula1>
      <formula2>1.0</formula2>
    </dataValidation>
  </dataValidations>
  <printOptions/>
  <pageMargins bottom="1.0" footer="0.0" header="0.0" left="0.75" right="0.75" top="1.0"/>
  <pageSetup fitToHeight="0" orientation="landscape"/>
  <headerFooter>
    <oddFooter>&amp;L Project Owner: Louren Isobel Rubico&amp;R Page &amp;P of </oddFoot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AA9AE"/>
    <pageSetUpPr fitToPage="1"/>
  </sheetPr>
  <sheetViews>
    <sheetView showGridLines="0"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4.43" defaultRowHeight="15.0"/>
  <cols>
    <col customWidth="1" min="1" max="1" width="7.0"/>
    <col customWidth="1" min="2" max="2" width="48.0"/>
    <col customWidth="1" min="3" max="16" width="7.0"/>
  </cols>
  <sheetData>
    <row r="1" ht="36.0" customHeight="1">
      <c r="A1" s="34" t="s">
        <v>321</v>
      </c>
      <c r="B1" s="2"/>
      <c r="C1" s="2"/>
      <c r="D1" s="2"/>
      <c r="E1" s="2"/>
      <c r="F1" s="2"/>
      <c r="G1" s="2"/>
      <c r="H1" s="2"/>
      <c r="I1" s="2"/>
      <c r="J1" s="2"/>
      <c r="K1" s="2"/>
      <c r="L1" s="2"/>
      <c r="M1" s="2"/>
      <c r="N1" s="2"/>
      <c r="O1" s="2"/>
      <c r="P1" s="2"/>
    </row>
    <row r="2" ht="21.75" customHeight="1">
      <c r="A2" s="35" t="str">
        <f>"Project Owner: "&amp;Tracker!$C$3&amp;"   |   Planned fraction of each task complete by the end of each week, assuming even effort across its weeks"</f>
        <v>Project Owner: Thea Consignado   |   Planned fraction of each task complete by the end of each week, assuming even effort across its weeks</v>
      </c>
      <c r="B2" s="2"/>
      <c r="C2" s="2"/>
      <c r="D2" s="2"/>
      <c r="E2" s="2"/>
      <c r="F2" s="2"/>
      <c r="G2" s="2"/>
      <c r="H2" s="2"/>
      <c r="I2" s="2"/>
      <c r="J2" s="2"/>
      <c r="K2" s="2"/>
      <c r="L2" s="2"/>
      <c r="M2" s="2"/>
      <c r="N2" s="2"/>
      <c r="O2" s="2"/>
      <c r="P2" s="2"/>
    </row>
    <row r="3">
      <c r="A3" s="19" t="s">
        <v>36</v>
      </c>
      <c r="B3" s="66" t="s">
        <v>37</v>
      </c>
      <c r="C3" s="67">
        <v>0.0</v>
      </c>
      <c r="D3" s="67">
        <v>1.0</v>
      </c>
      <c r="E3" s="67">
        <v>2.0</v>
      </c>
      <c r="F3" s="67">
        <v>3.0</v>
      </c>
      <c r="G3" s="67">
        <v>4.0</v>
      </c>
      <c r="H3" s="67">
        <v>5.0</v>
      </c>
      <c r="I3" s="67">
        <v>6.0</v>
      </c>
      <c r="J3" s="67">
        <v>7.0</v>
      </c>
      <c r="K3" s="67">
        <v>8.0</v>
      </c>
      <c r="L3" s="67">
        <v>9.0</v>
      </c>
      <c r="M3" s="67">
        <v>10.0</v>
      </c>
      <c r="N3" s="67">
        <v>11.0</v>
      </c>
      <c r="O3" s="67">
        <v>12.0</v>
      </c>
      <c r="P3" s="67">
        <v>13.0</v>
      </c>
    </row>
    <row r="4">
      <c r="A4" s="91" t="str">
        <f>Tracker!A9</f>
        <v>T01</v>
      </c>
      <c r="B4" s="71" t="str">
        <f>Tracker!C9</f>
        <v>Project setup, architecture, UI/UX foundation</v>
      </c>
      <c r="C4" s="50">
        <f>MAX(0,MIN(1,(C$3-Tracker!$D9+1)/(Tracker!$E9-Tracker!$D9+1)))</f>
        <v>0</v>
      </c>
      <c r="D4" s="50">
        <f>MAX(0,MIN(1,(D$3-Tracker!$D9+1)/(Tracker!$E9-Tracker!$D9+1)))</f>
        <v>1</v>
      </c>
      <c r="E4" s="50">
        <f>MAX(0,MIN(1,(E$3-Tracker!$D9+1)/(Tracker!$E9-Tracker!$D9+1)))</f>
        <v>1</v>
      </c>
      <c r="F4" s="50">
        <f>MAX(0,MIN(1,(F$3-Tracker!$D9+1)/(Tracker!$E9-Tracker!$D9+1)))</f>
        <v>1</v>
      </c>
      <c r="G4" s="50">
        <f>MAX(0,MIN(1,(G$3-Tracker!$D9+1)/(Tracker!$E9-Tracker!$D9+1)))</f>
        <v>1</v>
      </c>
      <c r="H4" s="50">
        <f>MAX(0,MIN(1,(H$3-Tracker!$D9+1)/(Tracker!$E9-Tracker!$D9+1)))</f>
        <v>1</v>
      </c>
      <c r="I4" s="50">
        <f>MAX(0,MIN(1,(I$3-Tracker!$D9+1)/(Tracker!$E9-Tracker!$D9+1)))</f>
        <v>1</v>
      </c>
      <c r="J4" s="50">
        <f>MAX(0,MIN(1,(J$3-Tracker!$D9+1)/(Tracker!$E9-Tracker!$D9+1)))</f>
        <v>1</v>
      </c>
      <c r="K4" s="50">
        <f>MAX(0,MIN(1,(K$3-Tracker!$D9+1)/(Tracker!$E9-Tracker!$D9+1)))</f>
        <v>1</v>
      </c>
      <c r="L4" s="50">
        <f>MAX(0,MIN(1,(L$3-Tracker!$D9+1)/(Tracker!$E9-Tracker!$D9+1)))</f>
        <v>1</v>
      </c>
      <c r="M4" s="50">
        <f>MAX(0,MIN(1,(M$3-Tracker!$D9+1)/(Tracker!$E9-Tracker!$D9+1)))</f>
        <v>1</v>
      </c>
      <c r="N4" s="50">
        <f>MAX(0,MIN(1,(N$3-Tracker!$D9+1)/(Tracker!$E9-Tracker!$D9+1)))</f>
        <v>1</v>
      </c>
      <c r="O4" s="50">
        <f>MAX(0,MIN(1,(O$3-Tracker!$D9+1)/(Tracker!$E9-Tracker!$D9+1)))</f>
        <v>1</v>
      </c>
      <c r="P4" s="50">
        <f>MAX(0,MIN(1,(P$3-Tracker!$D9+1)/(Tracker!$E9-Tracker!$D9+1)))</f>
        <v>1</v>
      </c>
    </row>
    <row r="5">
      <c r="A5" s="91" t="str">
        <f>Tracker!A10</f>
        <v>T02</v>
      </c>
      <c r="B5" s="71" t="str">
        <f>Tracker!C10</f>
        <v>Database design and multi-tenant setup</v>
      </c>
      <c r="C5" s="50">
        <f>MAX(0,MIN(1,(C$3-Tracker!$D10+1)/(Tracker!$E10-Tracker!$D10+1)))</f>
        <v>0</v>
      </c>
      <c r="D5" s="50">
        <f>MAX(0,MIN(1,(D$3-Tracker!$D10+1)/(Tracker!$E10-Tracker!$D10+1)))</f>
        <v>0.3333333333</v>
      </c>
      <c r="E5" s="50">
        <f>MAX(0,MIN(1,(E$3-Tracker!$D10+1)/(Tracker!$E10-Tracker!$D10+1)))</f>
        <v>0.6666666667</v>
      </c>
      <c r="F5" s="50">
        <f>MAX(0,MIN(1,(F$3-Tracker!$D10+1)/(Tracker!$E10-Tracker!$D10+1)))</f>
        <v>1</v>
      </c>
      <c r="G5" s="50">
        <f>MAX(0,MIN(1,(G$3-Tracker!$D10+1)/(Tracker!$E10-Tracker!$D10+1)))</f>
        <v>1</v>
      </c>
      <c r="H5" s="50">
        <f>MAX(0,MIN(1,(H$3-Tracker!$D10+1)/(Tracker!$E10-Tracker!$D10+1)))</f>
        <v>1</v>
      </c>
      <c r="I5" s="50">
        <f>MAX(0,MIN(1,(I$3-Tracker!$D10+1)/(Tracker!$E10-Tracker!$D10+1)))</f>
        <v>1</v>
      </c>
      <c r="J5" s="50">
        <f>MAX(0,MIN(1,(J$3-Tracker!$D10+1)/(Tracker!$E10-Tracker!$D10+1)))</f>
        <v>1</v>
      </c>
      <c r="K5" s="50">
        <f>MAX(0,MIN(1,(K$3-Tracker!$D10+1)/(Tracker!$E10-Tracker!$D10+1)))</f>
        <v>1</v>
      </c>
      <c r="L5" s="50">
        <f>MAX(0,MIN(1,(L$3-Tracker!$D10+1)/(Tracker!$E10-Tracker!$D10+1)))</f>
        <v>1</v>
      </c>
      <c r="M5" s="50">
        <f>MAX(0,MIN(1,(M$3-Tracker!$D10+1)/(Tracker!$E10-Tracker!$D10+1)))</f>
        <v>1</v>
      </c>
      <c r="N5" s="50">
        <f>MAX(0,MIN(1,(N$3-Tracker!$D10+1)/(Tracker!$E10-Tracker!$D10+1)))</f>
        <v>1</v>
      </c>
      <c r="O5" s="50">
        <f>MAX(0,MIN(1,(O$3-Tracker!$D10+1)/(Tracker!$E10-Tracker!$D10+1)))</f>
        <v>1</v>
      </c>
      <c r="P5" s="50">
        <f>MAX(0,MIN(1,(P$3-Tracker!$D10+1)/(Tracker!$E10-Tracker!$D10+1)))</f>
        <v>1</v>
      </c>
    </row>
    <row r="6">
      <c r="A6" s="91" t="str">
        <f>Tracker!A11</f>
        <v>T03</v>
      </c>
      <c r="B6" s="71" t="str">
        <f>Tracker!C11</f>
        <v>Login, password reset, roles and permissions</v>
      </c>
      <c r="C6" s="50">
        <f>MAX(0,MIN(1,(C$3-Tracker!$D11+1)/(Tracker!$E11-Tracker!$D11+1)))</f>
        <v>0</v>
      </c>
      <c r="D6" s="50">
        <f>MAX(0,MIN(1,(D$3-Tracker!$D11+1)/(Tracker!$E11-Tracker!$D11+1)))</f>
        <v>0.3333333333</v>
      </c>
      <c r="E6" s="50">
        <f>MAX(0,MIN(1,(E$3-Tracker!$D11+1)/(Tracker!$E11-Tracker!$D11+1)))</f>
        <v>0.6666666667</v>
      </c>
      <c r="F6" s="50">
        <f>MAX(0,MIN(1,(F$3-Tracker!$D11+1)/(Tracker!$E11-Tracker!$D11+1)))</f>
        <v>1</v>
      </c>
      <c r="G6" s="50">
        <f>MAX(0,MIN(1,(G$3-Tracker!$D11+1)/(Tracker!$E11-Tracker!$D11+1)))</f>
        <v>1</v>
      </c>
      <c r="H6" s="50">
        <f>MAX(0,MIN(1,(H$3-Tracker!$D11+1)/(Tracker!$E11-Tracker!$D11+1)))</f>
        <v>1</v>
      </c>
      <c r="I6" s="50">
        <f>MAX(0,MIN(1,(I$3-Tracker!$D11+1)/(Tracker!$E11-Tracker!$D11+1)))</f>
        <v>1</v>
      </c>
      <c r="J6" s="50">
        <f>MAX(0,MIN(1,(J$3-Tracker!$D11+1)/(Tracker!$E11-Tracker!$D11+1)))</f>
        <v>1</v>
      </c>
      <c r="K6" s="50">
        <f>MAX(0,MIN(1,(K$3-Tracker!$D11+1)/(Tracker!$E11-Tracker!$D11+1)))</f>
        <v>1</v>
      </c>
      <c r="L6" s="50">
        <f>MAX(0,MIN(1,(L$3-Tracker!$D11+1)/(Tracker!$E11-Tracker!$D11+1)))</f>
        <v>1</v>
      </c>
      <c r="M6" s="50">
        <f>MAX(0,MIN(1,(M$3-Tracker!$D11+1)/(Tracker!$E11-Tracker!$D11+1)))</f>
        <v>1</v>
      </c>
      <c r="N6" s="50">
        <f>MAX(0,MIN(1,(N$3-Tracker!$D11+1)/(Tracker!$E11-Tracker!$D11+1)))</f>
        <v>1</v>
      </c>
      <c r="O6" s="50">
        <f>MAX(0,MIN(1,(O$3-Tracker!$D11+1)/(Tracker!$E11-Tracker!$D11+1)))</f>
        <v>1</v>
      </c>
      <c r="P6" s="50">
        <f>MAX(0,MIN(1,(P$3-Tracker!$D11+1)/(Tracker!$E11-Tracker!$D11+1)))</f>
        <v>1</v>
      </c>
    </row>
    <row r="7">
      <c r="A7" s="91" t="str">
        <f>Tracker!A12</f>
        <v>T04</v>
      </c>
      <c r="B7" s="71" t="str">
        <f>Tracker!C12</f>
        <v>User accounts, access and activity logs</v>
      </c>
      <c r="C7" s="50">
        <f>MAX(0,MIN(1,(C$3-Tracker!$D12+1)/(Tracker!$E12-Tracker!$D12+1)))</f>
        <v>0</v>
      </c>
      <c r="D7" s="50">
        <f>MAX(0,MIN(1,(D$3-Tracker!$D12+1)/(Tracker!$E12-Tracker!$D12+1)))</f>
        <v>0</v>
      </c>
      <c r="E7" s="50">
        <f>MAX(0,MIN(1,(E$3-Tracker!$D12+1)/(Tracker!$E12-Tracker!$D12+1)))</f>
        <v>0.5</v>
      </c>
      <c r="F7" s="50">
        <f>MAX(0,MIN(1,(F$3-Tracker!$D12+1)/(Tracker!$E12-Tracker!$D12+1)))</f>
        <v>1</v>
      </c>
      <c r="G7" s="50">
        <f>MAX(0,MIN(1,(G$3-Tracker!$D12+1)/(Tracker!$E12-Tracker!$D12+1)))</f>
        <v>1</v>
      </c>
      <c r="H7" s="50">
        <f>MAX(0,MIN(1,(H$3-Tracker!$D12+1)/(Tracker!$E12-Tracker!$D12+1)))</f>
        <v>1</v>
      </c>
      <c r="I7" s="50">
        <f>MAX(0,MIN(1,(I$3-Tracker!$D12+1)/(Tracker!$E12-Tracker!$D12+1)))</f>
        <v>1</v>
      </c>
      <c r="J7" s="50">
        <f>MAX(0,MIN(1,(J$3-Tracker!$D12+1)/(Tracker!$E12-Tracker!$D12+1)))</f>
        <v>1</v>
      </c>
      <c r="K7" s="50">
        <f>MAX(0,MIN(1,(K$3-Tracker!$D12+1)/(Tracker!$E12-Tracker!$D12+1)))</f>
        <v>1</v>
      </c>
      <c r="L7" s="50">
        <f>MAX(0,MIN(1,(L$3-Tracker!$D12+1)/(Tracker!$E12-Tracker!$D12+1)))</f>
        <v>1</v>
      </c>
      <c r="M7" s="50">
        <f>MAX(0,MIN(1,(M$3-Tracker!$D12+1)/(Tracker!$E12-Tracker!$D12+1)))</f>
        <v>1</v>
      </c>
      <c r="N7" s="50">
        <f>MAX(0,MIN(1,(N$3-Tracker!$D12+1)/(Tracker!$E12-Tracker!$D12+1)))</f>
        <v>1</v>
      </c>
      <c r="O7" s="50">
        <f>MAX(0,MIN(1,(O$3-Tracker!$D12+1)/(Tracker!$E12-Tracker!$D12+1)))</f>
        <v>1</v>
      </c>
      <c r="P7" s="50">
        <f>MAX(0,MIN(1,(P$3-Tracker!$D12+1)/(Tracker!$E12-Tracker!$D12+1)))</f>
        <v>1</v>
      </c>
    </row>
    <row r="8">
      <c r="A8" s="91" t="str">
        <f>Tracker!A13</f>
        <v>T05</v>
      </c>
      <c r="B8" s="71" t="str">
        <f>Tracker!C13</f>
        <v>Company information, payroll settings, holidays</v>
      </c>
      <c r="C8" s="50">
        <f>MAX(0,MIN(1,(C$3-Tracker!$D13+1)/(Tracker!$E13-Tracker!$D13+1)))</f>
        <v>0</v>
      </c>
      <c r="D8" s="50">
        <f>MAX(0,MIN(1,(D$3-Tracker!$D13+1)/(Tracker!$E13-Tracker!$D13+1)))</f>
        <v>0</v>
      </c>
      <c r="E8" s="50">
        <f>MAX(0,MIN(1,(E$3-Tracker!$D13+1)/(Tracker!$E13-Tracker!$D13+1)))</f>
        <v>0.5</v>
      </c>
      <c r="F8" s="50">
        <f>MAX(0,MIN(1,(F$3-Tracker!$D13+1)/(Tracker!$E13-Tracker!$D13+1)))</f>
        <v>1</v>
      </c>
      <c r="G8" s="50">
        <f>MAX(0,MIN(1,(G$3-Tracker!$D13+1)/(Tracker!$E13-Tracker!$D13+1)))</f>
        <v>1</v>
      </c>
      <c r="H8" s="50">
        <f>MAX(0,MIN(1,(H$3-Tracker!$D13+1)/(Tracker!$E13-Tracker!$D13+1)))</f>
        <v>1</v>
      </c>
      <c r="I8" s="50">
        <f>MAX(0,MIN(1,(I$3-Tracker!$D13+1)/(Tracker!$E13-Tracker!$D13+1)))</f>
        <v>1</v>
      </c>
      <c r="J8" s="50">
        <f>MAX(0,MIN(1,(J$3-Tracker!$D13+1)/(Tracker!$E13-Tracker!$D13+1)))</f>
        <v>1</v>
      </c>
      <c r="K8" s="50">
        <f>MAX(0,MIN(1,(K$3-Tracker!$D13+1)/(Tracker!$E13-Tracker!$D13+1)))</f>
        <v>1</v>
      </c>
      <c r="L8" s="50">
        <f>MAX(0,MIN(1,(L$3-Tracker!$D13+1)/(Tracker!$E13-Tracker!$D13+1)))</f>
        <v>1</v>
      </c>
      <c r="M8" s="50">
        <f>MAX(0,MIN(1,(M$3-Tracker!$D13+1)/(Tracker!$E13-Tracker!$D13+1)))</f>
        <v>1</v>
      </c>
      <c r="N8" s="50">
        <f>MAX(0,MIN(1,(N$3-Tracker!$D13+1)/(Tracker!$E13-Tracker!$D13+1)))</f>
        <v>1</v>
      </c>
      <c r="O8" s="50">
        <f>MAX(0,MIN(1,(O$3-Tracker!$D13+1)/(Tracker!$E13-Tracker!$D13+1)))</f>
        <v>1</v>
      </c>
      <c r="P8" s="50">
        <f>MAX(0,MIN(1,(P$3-Tracker!$D13+1)/(Tracker!$E13-Tracker!$D13+1)))</f>
        <v>1</v>
      </c>
    </row>
    <row r="9">
      <c r="A9" s="91" t="str">
        <f>Tracker!A14</f>
        <v>T06</v>
      </c>
      <c r="B9" s="71" t="str">
        <f>Tracker!C14</f>
        <v>Branches and onboarding</v>
      </c>
      <c r="C9" s="50">
        <f>MAX(0,MIN(1,(C$3-Tracker!$D14+1)/(Tracker!$E14-Tracker!$D14+1)))</f>
        <v>0</v>
      </c>
      <c r="D9" s="50">
        <f>MAX(0,MIN(1,(D$3-Tracker!$D14+1)/(Tracker!$E14-Tracker!$D14+1)))</f>
        <v>0</v>
      </c>
      <c r="E9" s="50">
        <f>MAX(0,MIN(1,(E$3-Tracker!$D14+1)/(Tracker!$E14-Tracker!$D14+1)))</f>
        <v>0</v>
      </c>
      <c r="F9" s="50">
        <f>MAX(0,MIN(1,(F$3-Tracker!$D14+1)/(Tracker!$E14-Tracker!$D14+1)))</f>
        <v>1</v>
      </c>
      <c r="G9" s="50">
        <f>MAX(0,MIN(1,(G$3-Tracker!$D14+1)/(Tracker!$E14-Tracker!$D14+1)))</f>
        <v>1</v>
      </c>
      <c r="H9" s="50">
        <f>MAX(0,MIN(1,(H$3-Tracker!$D14+1)/(Tracker!$E14-Tracker!$D14+1)))</f>
        <v>1</v>
      </c>
      <c r="I9" s="50">
        <f>MAX(0,MIN(1,(I$3-Tracker!$D14+1)/(Tracker!$E14-Tracker!$D14+1)))</f>
        <v>1</v>
      </c>
      <c r="J9" s="50">
        <f>MAX(0,MIN(1,(J$3-Tracker!$D14+1)/(Tracker!$E14-Tracker!$D14+1)))</f>
        <v>1</v>
      </c>
      <c r="K9" s="50">
        <f>MAX(0,MIN(1,(K$3-Tracker!$D14+1)/(Tracker!$E14-Tracker!$D14+1)))</f>
        <v>1</v>
      </c>
      <c r="L9" s="50">
        <f>MAX(0,MIN(1,(L$3-Tracker!$D14+1)/(Tracker!$E14-Tracker!$D14+1)))</f>
        <v>1</v>
      </c>
      <c r="M9" s="50">
        <f>MAX(0,MIN(1,(M$3-Tracker!$D14+1)/(Tracker!$E14-Tracker!$D14+1)))</f>
        <v>1</v>
      </c>
      <c r="N9" s="50">
        <f>MAX(0,MIN(1,(N$3-Tracker!$D14+1)/(Tracker!$E14-Tracker!$D14+1)))</f>
        <v>1</v>
      </c>
      <c r="O9" s="50">
        <f>MAX(0,MIN(1,(O$3-Tracker!$D14+1)/(Tracker!$E14-Tracker!$D14+1)))</f>
        <v>1</v>
      </c>
      <c r="P9" s="50">
        <f>MAX(0,MIN(1,(P$3-Tracker!$D14+1)/(Tracker!$E14-Tracker!$D14+1)))</f>
        <v>1</v>
      </c>
    </row>
    <row r="10">
      <c r="A10" s="91" t="str">
        <f>Tracker!A15</f>
        <v>T07</v>
      </c>
      <c r="B10" s="71" t="str">
        <f>Tracker!C15</f>
        <v>Employee management (list, profile, import)</v>
      </c>
      <c r="C10" s="50">
        <f>MAX(0,MIN(1,(C$3-Tracker!$D15+1)/(Tracker!$E15-Tracker!$D15+1)))</f>
        <v>0</v>
      </c>
      <c r="D10" s="50">
        <f>MAX(0,MIN(1,(D$3-Tracker!$D15+1)/(Tracker!$E15-Tracker!$D15+1)))</f>
        <v>0</v>
      </c>
      <c r="E10" s="50">
        <f>MAX(0,MIN(1,(E$3-Tracker!$D15+1)/(Tracker!$E15-Tracker!$D15+1)))</f>
        <v>0.5</v>
      </c>
      <c r="F10" s="50">
        <f>MAX(0,MIN(1,(F$3-Tracker!$D15+1)/(Tracker!$E15-Tracker!$D15+1)))</f>
        <v>1</v>
      </c>
      <c r="G10" s="50">
        <f>MAX(0,MIN(1,(G$3-Tracker!$D15+1)/(Tracker!$E15-Tracker!$D15+1)))</f>
        <v>1</v>
      </c>
      <c r="H10" s="50">
        <f>MAX(0,MIN(1,(H$3-Tracker!$D15+1)/(Tracker!$E15-Tracker!$D15+1)))</f>
        <v>1</v>
      </c>
      <c r="I10" s="50">
        <f>MAX(0,MIN(1,(I$3-Tracker!$D15+1)/(Tracker!$E15-Tracker!$D15+1)))</f>
        <v>1</v>
      </c>
      <c r="J10" s="50">
        <f>MAX(0,MIN(1,(J$3-Tracker!$D15+1)/(Tracker!$E15-Tracker!$D15+1)))</f>
        <v>1</v>
      </c>
      <c r="K10" s="50">
        <f>MAX(0,MIN(1,(K$3-Tracker!$D15+1)/(Tracker!$E15-Tracker!$D15+1)))</f>
        <v>1</v>
      </c>
      <c r="L10" s="50">
        <f>MAX(0,MIN(1,(L$3-Tracker!$D15+1)/(Tracker!$E15-Tracker!$D15+1)))</f>
        <v>1</v>
      </c>
      <c r="M10" s="50">
        <f>MAX(0,MIN(1,(M$3-Tracker!$D15+1)/(Tracker!$E15-Tracker!$D15+1)))</f>
        <v>1</v>
      </c>
      <c r="N10" s="50">
        <f>MAX(0,MIN(1,(N$3-Tracker!$D15+1)/(Tracker!$E15-Tracker!$D15+1)))</f>
        <v>1</v>
      </c>
      <c r="O10" s="50">
        <f>MAX(0,MIN(1,(O$3-Tracker!$D15+1)/(Tracker!$E15-Tracker!$D15+1)))</f>
        <v>1</v>
      </c>
      <c r="P10" s="50">
        <f>MAX(0,MIN(1,(P$3-Tracker!$D15+1)/(Tracker!$E15-Tracker!$D15+1)))</f>
        <v>1</v>
      </c>
    </row>
    <row r="11">
      <c r="A11" s="91" t="str">
        <f>Tracker!A16</f>
        <v>T08</v>
      </c>
      <c r="B11" s="71" t="str">
        <f>Tracker!C16</f>
        <v>Attendance, adjustments and biometrics</v>
      </c>
      <c r="C11" s="50">
        <f>MAX(0,MIN(1,(C$3-Tracker!$D16+1)/(Tracker!$E16-Tracker!$D16+1)))</f>
        <v>0</v>
      </c>
      <c r="D11" s="50">
        <f>MAX(0,MIN(1,(D$3-Tracker!$D16+1)/(Tracker!$E16-Tracker!$D16+1)))</f>
        <v>0</v>
      </c>
      <c r="E11" s="50">
        <f>MAX(0,MIN(1,(E$3-Tracker!$D16+1)/(Tracker!$E16-Tracker!$D16+1)))</f>
        <v>0</v>
      </c>
      <c r="F11" s="50">
        <f>MAX(0,MIN(1,(F$3-Tracker!$D16+1)/(Tracker!$E16-Tracker!$D16+1)))</f>
        <v>0.5</v>
      </c>
      <c r="G11" s="50">
        <f>MAX(0,MIN(1,(G$3-Tracker!$D16+1)/(Tracker!$E16-Tracker!$D16+1)))</f>
        <v>1</v>
      </c>
      <c r="H11" s="50">
        <f>MAX(0,MIN(1,(H$3-Tracker!$D16+1)/(Tracker!$E16-Tracker!$D16+1)))</f>
        <v>1</v>
      </c>
      <c r="I11" s="50">
        <f>MAX(0,MIN(1,(I$3-Tracker!$D16+1)/(Tracker!$E16-Tracker!$D16+1)))</f>
        <v>1</v>
      </c>
      <c r="J11" s="50">
        <f>MAX(0,MIN(1,(J$3-Tracker!$D16+1)/(Tracker!$E16-Tracker!$D16+1)))</f>
        <v>1</v>
      </c>
      <c r="K11" s="50">
        <f>MAX(0,MIN(1,(K$3-Tracker!$D16+1)/(Tracker!$E16-Tracker!$D16+1)))</f>
        <v>1</v>
      </c>
      <c r="L11" s="50">
        <f>MAX(0,MIN(1,(L$3-Tracker!$D16+1)/(Tracker!$E16-Tracker!$D16+1)))</f>
        <v>1</v>
      </c>
      <c r="M11" s="50">
        <f>MAX(0,MIN(1,(M$3-Tracker!$D16+1)/(Tracker!$E16-Tracker!$D16+1)))</f>
        <v>1</v>
      </c>
      <c r="N11" s="50">
        <f>MAX(0,MIN(1,(N$3-Tracker!$D16+1)/(Tracker!$E16-Tracker!$D16+1)))</f>
        <v>1</v>
      </c>
      <c r="O11" s="50">
        <f>MAX(0,MIN(1,(O$3-Tracker!$D16+1)/(Tracker!$E16-Tracker!$D16+1)))</f>
        <v>1</v>
      </c>
      <c r="P11" s="50">
        <f>MAX(0,MIN(1,(P$3-Tracker!$D16+1)/(Tracker!$E16-Tracker!$D16+1)))</f>
        <v>1</v>
      </c>
    </row>
    <row r="12">
      <c r="A12" s="91" t="str">
        <f>Tracker!A17</f>
        <v>T09</v>
      </c>
      <c r="B12" s="71" t="str">
        <f>Tracker!C17</f>
        <v>Schedules (roster, teams, shift templates)</v>
      </c>
      <c r="C12" s="50">
        <f>MAX(0,MIN(1,(C$3-Tracker!$D17+1)/(Tracker!$E17-Tracker!$D17+1)))</f>
        <v>0</v>
      </c>
      <c r="D12" s="50">
        <f>MAX(0,MIN(1,(D$3-Tracker!$D17+1)/(Tracker!$E17-Tracker!$D17+1)))</f>
        <v>0</v>
      </c>
      <c r="E12" s="50">
        <f>MAX(0,MIN(1,(E$3-Tracker!$D17+1)/(Tracker!$E17-Tracker!$D17+1)))</f>
        <v>0</v>
      </c>
      <c r="F12" s="50">
        <f>MAX(0,MIN(1,(F$3-Tracker!$D17+1)/(Tracker!$E17-Tracker!$D17+1)))</f>
        <v>0.5</v>
      </c>
      <c r="G12" s="50">
        <f>MAX(0,MIN(1,(G$3-Tracker!$D17+1)/(Tracker!$E17-Tracker!$D17+1)))</f>
        <v>1</v>
      </c>
      <c r="H12" s="50">
        <f>MAX(0,MIN(1,(H$3-Tracker!$D17+1)/(Tracker!$E17-Tracker!$D17+1)))</f>
        <v>1</v>
      </c>
      <c r="I12" s="50">
        <f>MAX(0,MIN(1,(I$3-Tracker!$D17+1)/(Tracker!$E17-Tracker!$D17+1)))</f>
        <v>1</v>
      </c>
      <c r="J12" s="50">
        <f>MAX(0,MIN(1,(J$3-Tracker!$D17+1)/(Tracker!$E17-Tracker!$D17+1)))</f>
        <v>1</v>
      </c>
      <c r="K12" s="50">
        <f>MAX(0,MIN(1,(K$3-Tracker!$D17+1)/(Tracker!$E17-Tracker!$D17+1)))</f>
        <v>1</v>
      </c>
      <c r="L12" s="50">
        <f>MAX(0,MIN(1,(L$3-Tracker!$D17+1)/(Tracker!$E17-Tracker!$D17+1)))</f>
        <v>1</v>
      </c>
      <c r="M12" s="50">
        <f>MAX(0,MIN(1,(M$3-Tracker!$D17+1)/(Tracker!$E17-Tracker!$D17+1)))</f>
        <v>1</v>
      </c>
      <c r="N12" s="50">
        <f>MAX(0,MIN(1,(N$3-Tracker!$D17+1)/(Tracker!$E17-Tracker!$D17+1)))</f>
        <v>1</v>
      </c>
      <c r="O12" s="50">
        <f>MAX(0,MIN(1,(O$3-Tracker!$D17+1)/(Tracker!$E17-Tracker!$D17+1)))</f>
        <v>1</v>
      </c>
      <c r="P12" s="50">
        <f>MAX(0,MIN(1,(P$3-Tracker!$D17+1)/(Tracker!$E17-Tracker!$D17+1)))</f>
        <v>1</v>
      </c>
    </row>
    <row r="13">
      <c r="A13" s="91" t="str">
        <f>Tracker!A18</f>
        <v>T10</v>
      </c>
      <c r="B13" s="71" t="str">
        <f>Tracker!C18</f>
        <v>Leave types, requests, approvals and balances</v>
      </c>
      <c r="C13" s="50">
        <f>MAX(0,MIN(1,(C$3-Tracker!$D18+1)/(Tracker!$E18-Tracker!$D18+1)))</f>
        <v>0</v>
      </c>
      <c r="D13" s="50">
        <f>MAX(0,MIN(1,(D$3-Tracker!$D18+1)/(Tracker!$E18-Tracker!$D18+1)))</f>
        <v>0</v>
      </c>
      <c r="E13" s="50">
        <f>MAX(0,MIN(1,(E$3-Tracker!$D18+1)/(Tracker!$E18-Tracker!$D18+1)))</f>
        <v>0</v>
      </c>
      <c r="F13" s="50">
        <f>MAX(0,MIN(1,(F$3-Tracker!$D18+1)/(Tracker!$E18-Tracker!$D18+1)))</f>
        <v>0</v>
      </c>
      <c r="G13" s="50">
        <f>MAX(0,MIN(1,(G$3-Tracker!$D18+1)/(Tracker!$E18-Tracker!$D18+1)))</f>
        <v>0.5</v>
      </c>
      <c r="H13" s="50">
        <f>MAX(0,MIN(1,(H$3-Tracker!$D18+1)/(Tracker!$E18-Tracker!$D18+1)))</f>
        <v>1</v>
      </c>
      <c r="I13" s="50">
        <f>MAX(0,MIN(1,(I$3-Tracker!$D18+1)/(Tracker!$E18-Tracker!$D18+1)))</f>
        <v>1</v>
      </c>
      <c r="J13" s="50">
        <f>MAX(0,MIN(1,(J$3-Tracker!$D18+1)/(Tracker!$E18-Tracker!$D18+1)))</f>
        <v>1</v>
      </c>
      <c r="K13" s="50">
        <f>MAX(0,MIN(1,(K$3-Tracker!$D18+1)/(Tracker!$E18-Tracker!$D18+1)))</f>
        <v>1</v>
      </c>
      <c r="L13" s="50">
        <f>MAX(0,MIN(1,(L$3-Tracker!$D18+1)/(Tracker!$E18-Tracker!$D18+1)))</f>
        <v>1</v>
      </c>
      <c r="M13" s="50">
        <f>MAX(0,MIN(1,(M$3-Tracker!$D18+1)/(Tracker!$E18-Tracker!$D18+1)))</f>
        <v>1</v>
      </c>
      <c r="N13" s="50">
        <f>MAX(0,MIN(1,(N$3-Tracker!$D18+1)/(Tracker!$E18-Tracker!$D18+1)))</f>
        <v>1</v>
      </c>
      <c r="O13" s="50">
        <f>MAX(0,MIN(1,(O$3-Tracker!$D18+1)/(Tracker!$E18-Tracker!$D18+1)))</f>
        <v>1</v>
      </c>
      <c r="P13" s="50">
        <f>MAX(0,MIN(1,(P$3-Tracker!$D18+1)/(Tracker!$E18-Tracker!$D18+1)))</f>
        <v>1</v>
      </c>
    </row>
    <row r="14">
      <c r="A14" s="91" t="str">
        <f>Tracker!A19</f>
        <v>T11</v>
      </c>
      <c r="B14" s="71" t="str">
        <f>Tracker!C19</f>
        <v>Overtime and night differential</v>
      </c>
      <c r="C14" s="50">
        <f>MAX(0,MIN(1,(C$3-Tracker!$D19+1)/(Tracker!$E19-Tracker!$D19+1)))</f>
        <v>0</v>
      </c>
      <c r="D14" s="50">
        <f>MAX(0,MIN(1,(D$3-Tracker!$D19+1)/(Tracker!$E19-Tracker!$D19+1)))</f>
        <v>0</v>
      </c>
      <c r="E14" s="50">
        <f>MAX(0,MIN(1,(E$3-Tracker!$D19+1)/(Tracker!$E19-Tracker!$D19+1)))</f>
        <v>0</v>
      </c>
      <c r="F14" s="50">
        <f>MAX(0,MIN(1,(F$3-Tracker!$D19+1)/(Tracker!$E19-Tracker!$D19+1)))</f>
        <v>0</v>
      </c>
      <c r="G14" s="50">
        <f>MAX(0,MIN(1,(G$3-Tracker!$D19+1)/(Tracker!$E19-Tracker!$D19+1)))</f>
        <v>0.5</v>
      </c>
      <c r="H14" s="50">
        <f>MAX(0,MIN(1,(H$3-Tracker!$D19+1)/(Tracker!$E19-Tracker!$D19+1)))</f>
        <v>1</v>
      </c>
      <c r="I14" s="50">
        <f>MAX(0,MIN(1,(I$3-Tracker!$D19+1)/(Tracker!$E19-Tracker!$D19+1)))</f>
        <v>1</v>
      </c>
      <c r="J14" s="50">
        <f>MAX(0,MIN(1,(J$3-Tracker!$D19+1)/(Tracker!$E19-Tracker!$D19+1)))</f>
        <v>1</v>
      </c>
      <c r="K14" s="50">
        <f>MAX(0,MIN(1,(K$3-Tracker!$D19+1)/(Tracker!$E19-Tracker!$D19+1)))</f>
        <v>1</v>
      </c>
      <c r="L14" s="50">
        <f>MAX(0,MIN(1,(L$3-Tracker!$D19+1)/(Tracker!$E19-Tracker!$D19+1)))</f>
        <v>1</v>
      </c>
      <c r="M14" s="50">
        <f>MAX(0,MIN(1,(M$3-Tracker!$D19+1)/(Tracker!$E19-Tracker!$D19+1)))</f>
        <v>1</v>
      </c>
      <c r="N14" s="50">
        <f>MAX(0,MIN(1,(N$3-Tracker!$D19+1)/(Tracker!$E19-Tracker!$D19+1)))</f>
        <v>1</v>
      </c>
      <c r="O14" s="50">
        <f>MAX(0,MIN(1,(O$3-Tracker!$D19+1)/(Tracker!$E19-Tracker!$D19+1)))</f>
        <v>1</v>
      </c>
      <c r="P14" s="50">
        <f>MAX(0,MIN(1,(P$3-Tracker!$D19+1)/(Tracker!$E19-Tracker!$D19+1)))</f>
        <v>1</v>
      </c>
    </row>
    <row r="15">
      <c r="A15" s="91" t="str">
        <f>Tracker!A20</f>
        <v>T12</v>
      </c>
      <c r="B15" s="71" t="str">
        <f>Tracker!C20</f>
        <v>Hourly and output compensation approvals</v>
      </c>
      <c r="C15" s="50">
        <f>MAX(0,MIN(1,(C$3-Tracker!$D20+1)/(Tracker!$E20-Tracker!$D20+1)))</f>
        <v>0</v>
      </c>
      <c r="D15" s="50">
        <f>MAX(0,MIN(1,(D$3-Tracker!$D20+1)/(Tracker!$E20-Tracker!$D20+1)))</f>
        <v>0</v>
      </c>
      <c r="E15" s="50">
        <f>MAX(0,MIN(1,(E$3-Tracker!$D20+1)/(Tracker!$E20-Tracker!$D20+1)))</f>
        <v>0</v>
      </c>
      <c r="F15" s="50">
        <f>MAX(0,MIN(1,(F$3-Tracker!$D20+1)/(Tracker!$E20-Tracker!$D20+1)))</f>
        <v>0</v>
      </c>
      <c r="G15" s="50">
        <f>MAX(0,MIN(1,(G$3-Tracker!$D20+1)/(Tracker!$E20-Tracker!$D20+1)))</f>
        <v>0</v>
      </c>
      <c r="H15" s="50">
        <f>MAX(0,MIN(1,(H$3-Tracker!$D20+1)/(Tracker!$E20-Tracker!$D20+1)))</f>
        <v>0.5</v>
      </c>
      <c r="I15" s="50">
        <f>MAX(0,MIN(1,(I$3-Tracker!$D20+1)/(Tracker!$E20-Tracker!$D20+1)))</f>
        <v>1</v>
      </c>
      <c r="J15" s="50">
        <f>MAX(0,MIN(1,(J$3-Tracker!$D20+1)/(Tracker!$E20-Tracker!$D20+1)))</f>
        <v>1</v>
      </c>
      <c r="K15" s="50">
        <f>MAX(0,MIN(1,(K$3-Tracker!$D20+1)/(Tracker!$E20-Tracker!$D20+1)))</f>
        <v>1</v>
      </c>
      <c r="L15" s="50">
        <f>MAX(0,MIN(1,(L$3-Tracker!$D20+1)/(Tracker!$E20-Tracker!$D20+1)))</f>
        <v>1</v>
      </c>
      <c r="M15" s="50">
        <f>MAX(0,MIN(1,(M$3-Tracker!$D20+1)/(Tracker!$E20-Tracker!$D20+1)))</f>
        <v>1</v>
      </c>
      <c r="N15" s="50">
        <f>MAX(0,MIN(1,(N$3-Tracker!$D20+1)/(Tracker!$E20-Tracker!$D20+1)))</f>
        <v>1</v>
      </c>
      <c r="O15" s="50">
        <f>MAX(0,MIN(1,(O$3-Tracker!$D20+1)/(Tracker!$E20-Tracker!$D20+1)))</f>
        <v>1</v>
      </c>
      <c r="P15" s="50">
        <f>MAX(0,MIN(1,(P$3-Tracker!$D20+1)/(Tracker!$E20-Tracker!$D20+1)))</f>
        <v>1</v>
      </c>
    </row>
    <row r="16">
      <c r="A16" s="91" t="str">
        <f>Tracker!A21</f>
        <v>T13</v>
      </c>
      <c r="B16" s="71" t="str">
        <f>Tracker!C21</f>
        <v>Benefits, loans and deductions</v>
      </c>
      <c r="C16" s="50">
        <f>MAX(0,MIN(1,(C$3-Tracker!$D21+1)/(Tracker!$E21-Tracker!$D21+1)))</f>
        <v>0</v>
      </c>
      <c r="D16" s="50">
        <f>MAX(0,MIN(1,(D$3-Tracker!$D21+1)/(Tracker!$E21-Tracker!$D21+1)))</f>
        <v>0</v>
      </c>
      <c r="E16" s="50">
        <f>MAX(0,MIN(1,(E$3-Tracker!$D21+1)/(Tracker!$E21-Tracker!$D21+1)))</f>
        <v>0</v>
      </c>
      <c r="F16" s="50">
        <f>MAX(0,MIN(1,(F$3-Tracker!$D21+1)/(Tracker!$E21-Tracker!$D21+1)))</f>
        <v>0</v>
      </c>
      <c r="G16" s="50">
        <f>MAX(0,MIN(1,(G$3-Tracker!$D21+1)/(Tracker!$E21-Tracker!$D21+1)))</f>
        <v>0</v>
      </c>
      <c r="H16" s="50">
        <f>MAX(0,MIN(1,(H$3-Tracker!$D21+1)/(Tracker!$E21-Tracker!$D21+1)))</f>
        <v>0.5</v>
      </c>
      <c r="I16" s="50">
        <f>MAX(0,MIN(1,(I$3-Tracker!$D21+1)/(Tracker!$E21-Tracker!$D21+1)))</f>
        <v>1</v>
      </c>
      <c r="J16" s="50">
        <f>MAX(0,MIN(1,(J$3-Tracker!$D21+1)/(Tracker!$E21-Tracker!$D21+1)))</f>
        <v>1</v>
      </c>
      <c r="K16" s="50">
        <f>MAX(0,MIN(1,(K$3-Tracker!$D21+1)/(Tracker!$E21-Tracker!$D21+1)))</f>
        <v>1</v>
      </c>
      <c r="L16" s="50">
        <f>MAX(0,MIN(1,(L$3-Tracker!$D21+1)/(Tracker!$E21-Tracker!$D21+1)))</f>
        <v>1</v>
      </c>
      <c r="M16" s="50">
        <f>MAX(0,MIN(1,(M$3-Tracker!$D21+1)/(Tracker!$E21-Tracker!$D21+1)))</f>
        <v>1</v>
      </c>
      <c r="N16" s="50">
        <f>MAX(0,MIN(1,(N$3-Tracker!$D21+1)/(Tracker!$E21-Tracker!$D21+1)))</f>
        <v>1</v>
      </c>
      <c r="O16" s="50">
        <f>MAX(0,MIN(1,(O$3-Tracker!$D21+1)/(Tracker!$E21-Tracker!$D21+1)))</f>
        <v>1</v>
      </c>
      <c r="P16" s="50">
        <f>MAX(0,MIN(1,(P$3-Tracker!$D21+1)/(Tracker!$E21-Tracker!$D21+1)))</f>
        <v>1</v>
      </c>
    </row>
    <row r="17">
      <c r="A17" s="91" t="str">
        <f>Tracker!A22</f>
        <v>T14</v>
      </c>
      <c r="B17" s="71" t="str">
        <f>Tracker!C22</f>
        <v>Payroll computation, runs and approvals</v>
      </c>
      <c r="C17" s="50">
        <f>MAX(0,MIN(1,(C$3-Tracker!$D22+1)/(Tracker!$E22-Tracker!$D22+1)))</f>
        <v>0</v>
      </c>
      <c r="D17" s="50">
        <f>MAX(0,MIN(1,(D$3-Tracker!$D22+1)/(Tracker!$E22-Tracker!$D22+1)))</f>
        <v>0</v>
      </c>
      <c r="E17" s="50">
        <f>MAX(0,MIN(1,(E$3-Tracker!$D22+1)/(Tracker!$E22-Tracker!$D22+1)))</f>
        <v>0</v>
      </c>
      <c r="F17" s="50">
        <f>MAX(0,MIN(1,(F$3-Tracker!$D22+1)/(Tracker!$E22-Tracker!$D22+1)))</f>
        <v>0</v>
      </c>
      <c r="G17" s="50">
        <f>MAX(0,MIN(1,(G$3-Tracker!$D22+1)/(Tracker!$E22-Tracker!$D22+1)))</f>
        <v>0</v>
      </c>
      <c r="H17" s="50">
        <f>MAX(0,MIN(1,(H$3-Tracker!$D22+1)/(Tracker!$E22-Tracker!$D22+1)))</f>
        <v>0.25</v>
      </c>
      <c r="I17" s="50">
        <f>MAX(0,MIN(1,(I$3-Tracker!$D22+1)/(Tracker!$E22-Tracker!$D22+1)))</f>
        <v>0.5</v>
      </c>
      <c r="J17" s="50">
        <f>MAX(0,MIN(1,(J$3-Tracker!$D22+1)/(Tracker!$E22-Tracker!$D22+1)))</f>
        <v>0.75</v>
      </c>
      <c r="K17" s="50">
        <f>MAX(0,MIN(1,(K$3-Tracker!$D22+1)/(Tracker!$E22-Tracker!$D22+1)))</f>
        <v>1</v>
      </c>
      <c r="L17" s="50">
        <f>MAX(0,MIN(1,(L$3-Tracker!$D22+1)/(Tracker!$E22-Tracker!$D22+1)))</f>
        <v>1</v>
      </c>
      <c r="M17" s="50">
        <f>MAX(0,MIN(1,(M$3-Tracker!$D22+1)/(Tracker!$E22-Tracker!$D22+1)))</f>
        <v>1</v>
      </c>
      <c r="N17" s="50">
        <f>MAX(0,MIN(1,(N$3-Tracker!$D22+1)/(Tracker!$E22-Tracker!$D22+1)))</f>
        <v>1</v>
      </c>
      <c r="O17" s="50">
        <f>MAX(0,MIN(1,(O$3-Tracker!$D22+1)/(Tracker!$E22-Tracker!$D22+1)))</f>
        <v>1</v>
      </c>
      <c r="P17" s="50">
        <f>MAX(0,MIN(1,(P$3-Tracker!$D22+1)/(Tracker!$E22-Tracker!$D22+1)))</f>
        <v>1</v>
      </c>
    </row>
    <row r="18">
      <c r="A18" s="91" t="str">
        <f>Tracker!A23</f>
        <v>T15</v>
      </c>
      <c r="B18" s="71" t="str">
        <f>Tracker!C23</f>
        <v>Payslips (admin and employee views, email)</v>
      </c>
      <c r="C18" s="50">
        <f>MAX(0,MIN(1,(C$3-Tracker!$D23+1)/(Tracker!$E23-Tracker!$D23+1)))</f>
        <v>0</v>
      </c>
      <c r="D18" s="50">
        <f>MAX(0,MIN(1,(D$3-Tracker!$D23+1)/(Tracker!$E23-Tracker!$D23+1)))</f>
        <v>0</v>
      </c>
      <c r="E18" s="50">
        <f>MAX(0,MIN(1,(E$3-Tracker!$D23+1)/(Tracker!$E23-Tracker!$D23+1)))</f>
        <v>0</v>
      </c>
      <c r="F18" s="50">
        <f>MAX(0,MIN(1,(F$3-Tracker!$D23+1)/(Tracker!$E23-Tracker!$D23+1)))</f>
        <v>0</v>
      </c>
      <c r="G18" s="50">
        <f>MAX(0,MIN(1,(G$3-Tracker!$D23+1)/(Tracker!$E23-Tracker!$D23+1)))</f>
        <v>0</v>
      </c>
      <c r="H18" s="50">
        <f>MAX(0,MIN(1,(H$3-Tracker!$D23+1)/(Tracker!$E23-Tracker!$D23+1)))</f>
        <v>0</v>
      </c>
      <c r="I18" s="50">
        <f>MAX(0,MIN(1,(I$3-Tracker!$D23+1)/(Tracker!$E23-Tracker!$D23+1)))</f>
        <v>0</v>
      </c>
      <c r="J18" s="50">
        <f>MAX(0,MIN(1,(J$3-Tracker!$D23+1)/(Tracker!$E23-Tracker!$D23+1)))</f>
        <v>0.5</v>
      </c>
      <c r="K18" s="50">
        <f>MAX(0,MIN(1,(K$3-Tracker!$D23+1)/(Tracker!$E23-Tracker!$D23+1)))</f>
        <v>1</v>
      </c>
      <c r="L18" s="50">
        <f>MAX(0,MIN(1,(L$3-Tracker!$D23+1)/(Tracker!$E23-Tracker!$D23+1)))</f>
        <v>1</v>
      </c>
      <c r="M18" s="50">
        <f>MAX(0,MIN(1,(M$3-Tracker!$D23+1)/(Tracker!$E23-Tracker!$D23+1)))</f>
        <v>1</v>
      </c>
      <c r="N18" s="50">
        <f>MAX(0,MIN(1,(N$3-Tracker!$D23+1)/(Tracker!$E23-Tracker!$D23+1)))</f>
        <v>1</v>
      </c>
      <c r="O18" s="50">
        <f>MAX(0,MIN(1,(O$3-Tracker!$D23+1)/(Tracker!$E23-Tracker!$D23+1)))</f>
        <v>1</v>
      </c>
      <c r="P18" s="50">
        <f>MAX(0,MIN(1,(P$3-Tracker!$D23+1)/(Tracker!$E23-Tracker!$D23+1)))</f>
        <v>1</v>
      </c>
    </row>
    <row r="19">
      <c r="A19" s="91" t="str">
        <f>Tracker!A24</f>
        <v>T16</v>
      </c>
      <c r="B19" s="71" t="str">
        <f>Tracker!C24</f>
        <v>Bonuses, incentives and 13th month pay</v>
      </c>
      <c r="C19" s="50">
        <f>MAX(0,MIN(1,(C$3-Tracker!$D24+1)/(Tracker!$E24-Tracker!$D24+1)))</f>
        <v>0</v>
      </c>
      <c r="D19" s="50">
        <f>MAX(0,MIN(1,(D$3-Tracker!$D24+1)/(Tracker!$E24-Tracker!$D24+1)))</f>
        <v>0</v>
      </c>
      <c r="E19" s="50">
        <f>MAX(0,MIN(1,(E$3-Tracker!$D24+1)/(Tracker!$E24-Tracker!$D24+1)))</f>
        <v>0</v>
      </c>
      <c r="F19" s="50">
        <f>MAX(0,MIN(1,(F$3-Tracker!$D24+1)/(Tracker!$E24-Tracker!$D24+1)))</f>
        <v>0</v>
      </c>
      <c r="G19" s="50">
        <f>MAX(0,MIN(1,(G$3-Tracker!$D24+1)/(Tracker!$E24-Tracker!$D24+1)))</f>
        <v>0</v>
      </c>
      <c r="H19" s="50">
        <f>MAX(0,MIN(1,(H$3-Tracker!$D24+1)/(Tracker!$E24-Tracker!$D24+1)))</f>
        <v>0</v>
      </c>
      <c r="I19" s="50">
        <f>MAX(0,MIN(1,(I$3-Tracker!$D24+1)/(Tracker!$E24-Tracker!$D24+1)))</f>
        <v>0</v>
      </c>
      <c r="J19" s="50">
        <f>MAX(0,MIN(1,(J$3-Tracker!$D24+1)/(Tracker!$E24-Tracker!$D24+1)))</f>
        <v>0.5</v>
      </c>
      <c r="K19" s="50">
        <f>MAX(0,MIN(1,(K$3-Tracker!$D24+1)/(Tracker!$E24-Tracker!$D24+1)))</f>
        <v>1</v>
      </c>
      <c r="L19" s="50">
        <f>MAX(0,MIN(1,(L$3-Tracker!$D24+1)/(Tracker!$E24-Tracker!$D24+1)))</f>
        <v>1</v>
      </c>
      <c r="M19" s="50">
        <f>MAX(0,MIN(1,(M$3-Tracker!$D24+1)/(Tracker!$E24-Tracker!$D24+1)))</f>
        <v>1</v>
      </c>
      <c r="N19" s="50">
        <f>MAX(0,MIN(1,(N$3-Tracker!$D24+1)/(Tracker!$E24-Tracker!$D24+1)))</f>
        <v>1</v>
      </c>
      <c r="O19" s="50">
        <f>MAX(0,MIN(1,(O$3-Tracker!$D24+1)/(Tracker!$E24-Tracker!$D24+1)))</f>
        <v>1</v>
      </c>
      <c r="P19" s="50">
        <f>MAX(0,MIN(1,(P$3-Tracker!$D24+1)/(Tracker!$E24-Tracker!$D24+1)))</f>
        <v>1</v>
      </c>
    </row>
    <row r="20">
      <c r="A20" s="91" t="str">
        <f>Tracker!A25</f>
        <v>T17</v>
      </c>
      <c r="B20" s="71" t="str">
        <f>Tracker!C25</f>
        <v>Statutory contributions and withholding tax</v>
      </c>
      <c r="C20" s="50">
        <f>MAX(0,MIN(1,(C$3-Tracker!$D25+1)/(Tracker!$E25-Tracker!$D25+1)))</f>
        <v>0</v>
      </c>
      <c r="D20" s="50">
        <f>MAX(0,MIN(1,(D$3-Tracker!$D25+1)/(Tracker!$E25-Tracker!$D25+1)))</f>
        <v>0</v>
      </c>
      <c r="E20" s="50">
        <f>MAX(0,MIN(1,(E$3-Tracker!$D25+1)/(Tracker!$E25-Tracker!$D25+1)))</f>
        <v>0</v>
      </c>
      <c r="F20" s="50">
        <f>MAX(0,MIN(1,(F$3-Tracker!$D25+1)/(Tracker!$E25-Tracker!$D25+1)))</f>
        <v>0</v>
      </c>
      <c r="G20" s="50">
        <f>MAX(0,MIN(1,(G$3-Tracker!$D25+1)/(Tracker!$E25-Tracker!$D25+1)))</f>
        <v>0</v>
      </c>
      <c r="H20" s="50">
        <f>MAX(0,MIN(1,(H$3-Tracker!$D25+1)/(Tracker!$E25-Tracker!$D25+1)))</f>
        <v>0</v>
      </c>
      <c r="I20" s="50">
        <f>MAX(0,MIN(1,(I$3-Tracker!$D25+1)/(Tracker!$E25-Tracker!$D25+1)))</f>
        <v>0.3333333333</v>
      </c>
      <c r="J20" s="50">
        <f>MAX(0,MIN(1,(J$3-Tracker!$D25+1)/(Tracker!$E25-Tracker!$D25+1)))</f>
        <v>0.6666666667</v>
      </c>
      <c r="K20" s="50">
        <f>MAX(0,MIN(1,(K$3-Tracker!$D25+1)/(Tracker!$E25-Tracker!$D25+1)))</f>
        <v>1</v>
      </c>
      <c r="L20" s="50">
        <f>MAX(0,MIN(1,(L$3-Tracker!$D25+1)/(Tracker!$E25-Tracker!$D25+1)))</f>
        <v>1</v>
      </c>
      <c r="M20" s="50">
        <f>MAX(0,MIN(1,(M$3-Tracker!$D25+1)/(Tracker!$E25-Tracker!$D25+1)))</f>
        <v>1</v>
      </c>
      <c r="N20" s="50">
        <f>MAX(0,MIN(1,(N$3-Tracker!$D25+1)/(Tracker!$E25-Tracker!$D25+1)))</f>
        <v>1</v>
      </c>
      <c r="O20" s="50">
        <f>MAX(0,MIN(1,(O$3-Tracker!$D25+1)/(Tracker!$E25-Tracker!$D25+1)))</f>
        <v>1</v>
      </c>
      <c r="P20" s="50">
        <f>MAX(0,MIN(1,(P$3-Tracker!$D25+1)/(Tracker!$E25-Tracker!$D25+1)))</f>
        <v>1</v>
      </c>
    </row>
    <row r="21" ht="15.75" customHeight="1">
      <c r="A21" s="91" t="str">
        <f>Tracker!A26</f>
        <v>T18</v>
      </c>
      <c r="B21" s="71" t="str">
        <f>Tracker!C26</f>
        <v>Reports, dashboard and notifications</v>
      </c>
      <c r="C21" s="50">
        <f>MAX(0,MIN(1,(C$3-Tracker!$D26+1)/(Tracker!$E26-Tracker!$D26+1)))</f>
        <v>0</v>
      </c>
      <c r="D21" s="50">
        <f>MAX(0,MIN(1,(D$3-Tracker!$D26+1)/(Tracker!$E26-Tracker!$D26+1)))</f>
        <v>0</v>
      </c>
      <c r="E21" s="50">
        <f>MAX(0,MIN(1,(E$3-Tracker!$D26+1)/(Tracker!$E26-Tracker!$D26+1)))</f>
        <v>0</v>
      </c>
      <c r="F21" s="50">
        <f>MAX(0,MIN(1,(F$3-Tracker!$D26+1)/(Tracker!$E26-Tracker!$D26+1)))</f>
        <v>0</v>
      </c>
      <c r="G21" s="50">
        <f>MAX(0,MIN(1,(G$3-Tracker!$D26+1)/(Tracker!$E26-Tracker!$D26+1)))</f>
        <v>0</v>
      </c>
      <c r="H21" s="50">
        <f>MAX(0,MIN(1,(H$3-Tracker!$D26+1)/(Tracker!$E26-Tracker!$D26+1)))</f>
        <v>0</v>
      </c>
      <c r="I21" s="50">
        <f>MAX(0,MIN(1,(I$3-Tracker!$D26+1)/(Tracker!$E26-Tracker!$D26+1)))</f>
        <v>0</v>
      </c>
      <c r="J21" s="50">
        <f>MAX(0,MIN(1,(J$3-Tracker!$D26+1)/(Tracker!$E26-Tracker!$D26+1)))</f>
        <v>0</v>
      </c>
      <c r="K21" s="50">
        <f>MAX(0,MIN(1,(K$3-Tracker!$D26+1)/(Tracker!$E26-Tracker!$D26+1)))</f>
        <v>0.5</v>
      </c>
      <c r="L21" s="50">
        <f>MAX(0,MIN(1,(L$3-Tracker!$D26+1)/(Tracker!$E26-Tracker!$D26+1)))</f>
        <v>1</v>
      </c>
      <c r="M21" s="50">
        <f>MAX(0,MIN(1,(M$3-Tracker!$D26+1)/(Tracker!$E26-Tracker!$D26+1)))</f>
        <v>1</v>
      </c>
      <c r="N21" s="50">
        <f>MAX(0,MIN(1,(N$3-Tracker!$D26+1)/(Tracker!$E26-Tracker!$D26+1)))</f>
        <v>1</v>
      </c>
      <c r="O21" s="50">
        <f>MAX(0,MIN(1,(O$3-Tracker!$D26+1)/(Tracker!$E26-Tracker!$D26+1)))</f>
        <v>1</v>
      </c>
      <c r="P21" s="50">
        <f>MAX(0,MIN(1,(P$3-Tracker!$D26+1)/(Tracker!$E26-Tracker!$D26+1)))</f>
        <v>1</v>
      </c>
    </row>
    <row r="22" ht="15.75" customHeight="1">
      <c r="A22" s="91" t="str">
        <f>Tracker!A27</f>
        <v>T19</v>
      </c>
      <c r="B22" s="71" t="str">
        <f>Tracker!C27</f>
        <v>Employee and Manager self-service (ESS)</v>
      </c>
      <c r="C22" s="50">
        <f>MAX(0,MIN(1,(C$3-Tracker!$D27+1)/(Tracker!$E27-Tracker!$D27+1)))</f>
        <v>0</v>
      </c>
      <c r="D22" s="50">
        <f>MAX(0,MIN(1,(D$3-Tracker!$D27+1)/(Tracker!$E27-Tracker!$D27+1)))</f>
        <v>0</v>
      </c>
      <c r="E22" s="50">
        <f>MAX(0,MIN(1,(E$3-Tracker!$D27+1)/(Tracker!$E27-Tracker!$D27+1)))</f>
        <v>0</v>
      </c>
      <c r="F22" s="50">
        <f>MAX(0,MIN(1,(F$3-Tracker!$D27+1)/(Tracker!$E27-Tracker!$D27+1)))</f>
        <v>0</v>
      </c>
      <c r="G22" s="50">
        <f>MAX(0,MIN(1,(G$3-Tracker!$D27+1)/(Tracker!$E27-Tracker!$D27+1)))</f>
        <v>0</v>
      </c>
      <c r="H22" s="50">
        <f>MAX(0,MIN(1,(H$3-Tracker!$D27+1)/(Tracker!$E27-Tracker!$D27+1)))</f>
        <v>0</v>
      </c>
      <c r="I22" s="50">
        <f>MAX(0,MIN(1,(I$3-Tracker!$D27+1)/(Tracker!$E27-Tracker!$D27+1)))</f>
        <v>0.3333333333</v>
      </c>
      <c r="J22" s="50">
        <f>MAX(0,MIN(1,(J$3-Tracker!$D27+1)/(Tracker!$E27-Tracker!$D27+1)))</f>
        <v>0.6666666667</v>
      </c>
      <c r="K22" s="50">
        <f>MAX(0,MIN(1,(K$3-Tracker!$D27+1)/(Tracker!$E27-Tracker!$D27+1)))</f>
        <v>1</v>
      </c>
      <c r="L22" s="50">
        <f>MAX(0,MIN(1,(L$3-Tracker!$D27+1)/(Tracker!$E27-Tracker!$D27+1)))</f>
        <v>1</v>
      </c>
      <c r="M22" s="50">
        <f>MAX(0,MIN(1,(M$3-Tracker!$D27+1)/(Tracker!$E27-Tracker!$D27+1)))</f>
        <v>1</v>
      </c>
      <c r="N22" s="50">
        <f>MAX(0,MIN(1,(N$3-Tracker!$D27+1)/(Tracker!$E27-Tracker!$D27+1)))</f>
        <v>1</v>
      </c>
      <c r="O22" s="50">
        <f>MAX(0,MIN(1,(O$3-Tracker!$D27+1)/(Tracker!$E27-Tracker!$D27+1)))</f>
        <v>1</v>
      </c>
      <c r="P22" s="50">
        <f>MAX(0,MIN(1,(P$3-Tracker!$D27+1)/(Tracker!$E27-Tracker!$D27+1)))</f>
        <v>1</v>
      </c>
    </row>
    <row r="23" ht="15.75" customHeight="1">
      <c r="A23" s="91" t="str">
        <f>Tracker!A28</f>
        <v>T20</v>
      </c>
      <c r="B23" s="71" t="str">
        <f>Tracker!C28</f>
        <v>Super Admin: companies, subscription, plans</v>
      </c>
      <c r="C23" s="50">
        <f>MAX(0,MIN(1,(C$3-Tracker!$D28+1)/(Tracker!$E28-Tracker!$D28+1)))</f>
        <v>0</v>
      </c>
      <c r="D23" s="50">
        <f>MAX(0,MIN(1,(D$3-Tracker!$D28+1)/(Tracker!$E28-Tracker!$D28+1)))</f>
        <v>0</v>
      </c>
      <c r="E23" s="50">
        <f>MAX(0,MIN(1,(E$3-Tracker!$D28+1)/(Tracker!$E28-Tracker!$D28+1)))</f>
        <v>0</v>
      </c>
      <c r="F23" s="50">
        <f>MAX(0,MIN(1,(F$3-Tracker!$D28+1)/(Tracker!$E28-Tracker!$D28+1)))</f>
        <v>0</v>
      </c>
      <c r="G23" s="50">
        <f>MAX(0,MIN(1,(G$3-Tracker!$D28+1)/(Tracker!$E28-Tracker!$D28+1)))</f>
        <v>0</v>
      </c>
      <c r="H23" s="50">
        <f>MAX(0,MIN(1,(H$3-Tracker!$D28+1)/(Tracker!$E28-Tracker!$D28+1)))</f>
        <v>0</v>
      </c>
      <c r="I23" s="50">
        <f>MAX(0,MIN(1,(I$3-Tracker!$D28+1)/(Tracker!$E28-Tracker!$D28+1)))</f>
        <v>0</v>
      </c>
      <c r="J23" s="50">
        <f>MAX(0,MIN(1,(J$3-Tracker!$D28+1)/(Tracker!$E28-Tracker!$D28+1)))</f>
        <v>0</v>
      </c>
      <c r="K23" s="50">
        <f>MAX(0,MIN(1,(K$3-Tracker!$D28+1)/(Tracker!$E28-Tracker!$D28+1)))</f>
        <v>0</v>
      </c>
      <c r="L23" s="50">
        <f>MAX(0,MIN(1,(L$3-Tracker!$D28+1)/(Tracker!$E28-Tracker!$D28+1)))</f>
        <v>1</v>
      </c>
      <c r="M23" s="50">
        <f>MAX(0,MIN(1,(M$3-Tracker!$D28+1)/(Tracker!$E28-Tracker!$D28+1)))</f>
        <v>1</v>
      </c>
      <c r="N23" s="50">
        <f>MAX(0,MIN(1,(N$3-Tracker!$D28+1)/(Tracker!$E28-Tracker!$D28+1)))</f>
        <v>1</v>
      </c>
      <c r="O23" s="50">
        <f>MAX(0,MIN(1,(O$3-Tracker!$D28+1)/(Tracker!$E28-Tracker!$D28+1)))</f>
        <v>1</v>
      </c>
      <c r="P23" s="50">
        <f>MAX(0,MIN(1,(P$3-Tracker!$D28+1)/(Tracker!$E28-Tracker!$D28+1)))</f>
        <v>1</v>
      </c>
    </row>
    <row r="24" ht="15.75" customHeight="1">
      <c r="A24" s="91" t="str">
        <f>Tracker!A29</f>
        <v>T21</v>
      </c>
      <c r="B24" s="71" t="str">
        <f>Tracker!C29</f>
        <v>Integrations and API (API keys, webhooks)</v>
      </c>
      <c r="C24" s="50">
        <f>MAX(0,MIN(1,(C$3-Tracker!$D29+1)/(Tracker!$E29-Tracker!$D29+1)))</f>
        <v>0</v>
      </c>
      <c r="D24" s="50">
        <f>MAX(0,MIN(1,(D$3-Tracker!$D29+1)/(Tracker!$E29-Tracker!$D29+1)))</f>
        <v>0</v>
      </c>
      <c r="E24" s="50">
        <f>MAX(0,MIN(1,(E$3-Tracker!$D29+1)/(Tracker!$E29-Tracker!$D29+1)))</f>
        <v>0</v>
      </c>
      <c r="F24" s="50">
        <f>MAX(0,MIN(1,(F$3-Tracker!$D29+1)/(Tracker!$E29-Tracker!$D29+1)))</f>
        <v>0</v>
      </c>
      <c r="G24" s="50">
        <f>MAX(0,MIN(1,(G$3-Tracker!$D29+1)/(Tracker!$E29-Tracker!$D29+1)))</f>
        <v>0</v>
      </c>
      <c r="H24" s="50">
        <f>MAX(0,MIN(1,(H$3-Tracker!$D29+1)/(Tracker!$E29-Tracker!$D29+1)))</f>
        <v>0</v>
      </c>
      <c r="I24" s="50">
        <f>MAX(0,MIN(1,(I$3-Tracker!$D29+1)/(Tracker!$E29-Tracker!$D29+1)))</f>
        <v>0</v>
      </c>
      <c r="J24" s="50">
        <f>MAX(0,MIN(1,(J$3-Tracker!$D29+1)/(Tracker!$E29-Tracker!$D29+1)))</f>
        <v>0</v>
      </c>
      <c r="K24" s="50">
        <f>MAX(0,MIN(1,(K$3-Tracker!$D29+1)/(Tracker!$E29-Tracker!$D29+1)))</f>
        <v>0</v>
      </c>
      <c r="L24" s="50">
        <f>MAX(0,MIN(1,(L$3-Tracker!$D29+1)/(Tracker!$E29-Tracker!$D29+1)))</f>
        <v>0.5</v>
      </c>
      <c r="M24" s="50">
        <f>MAX(0,MIN(1,(M$3-Tracker!$D29+1)/(Tracker!$E29-Tracker!$D29+1)))</f>
        <v>1</v>
      </c>
      <c r="N24" s="50">
        <f>MAX(0,MIN(1,(N$3-Tracker!$D29+1)/(Tracker!$E29-Tracker!$D29+1)))</f>
        <v>1</v>
      </c>
      <c r="O24" s="50">
        <f>MAX(0,MIN(1,(O$3-Tracker!$D29+1)/(Tracker!$E29-Tracker!$D29+1)))</f>
        <v>1</v>
      </c>
      <c r="P24" s="50">
        <f>MAX(0,MIN(1,(P$3-Tracker!$D29+1)/(Tracker!$E29-Tracker!$D29+1)))</f>
        <v>1</v>
      </c>
    </row>
    <row r="25" ht="15.75" customHeight="1">
      <c r="A25" s="91" t="str">
        <f>Tracker!A30</f>
        <v>T22</v>
      </c>
      <c r="B25" s="71" t="str">
        <f>Tracker!C30</f>
        <v>QA testing, bug fixing and performance checks</v>
      </c>
      <c r="C25" s="50">
        <f>MAX(0,MIN(1,(C$3-Tracker!$D30+1)/(Tracker!$E30-Tracker!$D30+1)))</f>
        <v>0</v>
      </c>
      <c r="D25" s="50">
        <f>MAX(0,MIN(1,(D$3-Tracker!$D30+1)/(Tracker!$E30-Tracker!$D30+1)))</f>
        <v>0</v>
      </c>
      <c r="E25" s="50">
        <f>MAX(0,MIN(1,(E$3-Tracker!$D30+1)/(Tracker!$E30-Tracker!$D30+1)))</f>
        <v>0</v>
      </c>
      <c r="F25" s="50">
        <f>MAX(0,MIN(1,(F$3-Tracker!$D30+1)/(Tracker!$E30-Tracker!$D30+1)))</f>
        <v>0</v>
      </c>
      <c r="G25" s="50">
        <f>MAX(0,MIN(1,(G$3-Tracker!$D30+1)/(Tracker!$E30-Tracker!$D30+1)))</f>
        <v>0</v>
      </c>
      <c r="H25" s="50">
        <f>MAX(0,MIN(1,(H$3-Tracker!$D30+1)/(Tracker!$E30-Tracker!$D30+1)))</f>
        <v>0</v>
      </c>
      <c r="I25" s="50">
        <f>MAX(0,MIN(1,(I$3-Tracker!$D30+1)/(Tracker!$E30-Tracker!$D30+1)))</f>
        <v>0</v>
      </c>
      <c r="J25" s="50">
        <f>MAX(0,MIN(1,(J$3-Tracker!$D30+1)/(Tracker!$E30-Tracker!$D30+1)))</f>
        <v>0</v>
      </c>
      <c r="K25" s="50">
        <f>MAX(0,MIN(1,(K$3-Tracker!$D30+1)/(Tracker!$E30-Tracker!$D30+1)))</f>
        <v>0</v>
      </c>
      <c r="L25" s="50">
        <f>MAX(0,MIN(1,(L$3-Tracker!$D30+1)/(Tracker!$E30-Tracker!$D30+1)))</f>
        <v>0.3333333333</v>
      </c>
      <c r="M25" s="50">
        <f>MAX(0,MIN(1,(M$3-Tracker!$D30+1)/(Tracker!$E30-Tracker!$D30+1)))</f>
        <v>0.6666666667</v>
      </c>
      <c r="N25" s="50">
        <f>MAX(0,MIN(1,(N$3-Tracker!$D30+1)/(Tracker!$E30-Tracker!$D30+1)))</f>
        <v>1</v>
      </c>
      <c r="O25" s="50">
        <f>MAX(0,MIN(1,(O$3-Tracker!$D30+1)/(Tracker!$E30-Tracker!$D30+1)))</f>
        <v>1</v>
      </c>
      <c r="P25" s="50">
        <f>MAX(0,MIN(1,(P$3-Tracker!$D30+1)/(Tracker!$E30-Tracker!$D30+1)))</f>
        <v>1</v>
      </c>
    </row>
    <row r="26" ht="15.75" customHeight="1">
      <c r="A26" s="91" t="str">
        <f>Tracker!A31</f>
        <v>T23</v>
      </c>
      <c r="B26" s="71" t="str">
        <f>Tracker!C31</f>
        <v>UAT, pilot and go-live</v>
      </c>
      <c r="C26" s="50">
        <f>MAX(0,MIN(1,(C$3-Tracker!$D31+1)/(Tracker!$E31-Tracker!$D31+1)))</f>
        <v>0</v>
      </c>
      <c r="D26" s="50">
        <f>MAX(0,MIN(1,(D$3-Tracker!$D31+1)/(Tracker!$E31-Tracker!$D31+1)))</f>
        <v>0</v>
      </c>
      <c r="E26" s="50">
        <f>MAX(0,MIN(1,(E$3-Tracker!$D31+1)/(Tracker!$E31-Tracker!$D31+1)))</f>
        <v>0</v>
      </c>
      <c r="F26" s="50">
        <f>MAX(0,MIN(1,(F$3-Tracker!$D31+1)/(Tracker!$E31-Tracker!$D31+1)))</f>
        <v>0</v>
      </c>
      <c r="G26" s="50">
        <f>MAX(0,MIN(1,(G$3-Tracker!$D31+1)/(Tracker!$E31-Tracker!$D31+1)))</f>
        <v>0</v>
      </c>
      <c r="H26" s="50">
        <f>MAX(0,MIN(1,(H$3-Tracker!$D31+1)/(Tracker!$E31-Tracker!$D31+1)))</f>
        <v>0</v>
      </c>
      <c r="I26" s="50">
        <f>MAX(0,MIN(1,(I$3-Tracker!$D31+1)/(Tracker!$E31-Tracker!$D31+1)))</f>
        <v>0</v>
      </c>
      <c r="J26" s="50">
        <f>MAX(0,MIN(1,(J$3-Tracker!$D31+1)/(Tracker!$E31-Tracker!$D31+1)))</f>
        <v>0</v>
      </c>
      <c r="K26" s="50">
        <f>MAX(0,MIN(1,(K$3-Tracker!$D31+1)/(Tracker!$E31-Tracker!$D31+1)))</f>
        <v>0</v>
      </c>
      <c r="L26" s="50">
        <f>MAX(0,MIN(1,(L$3-Tracker!$D31+1)/(Tracker!$E31-Tracker!$D31+1)))</f>
        <v>0</v>
      </c>
      <c r="M26" s="50">
        <f>MAX(0,MIN(1,(M$3-Tracker!$D31+1)/(Tracker!$E31-Tracker!$D31+1)))</f>
        <v>0.5</v>
      </c>
      <c r="N26" s="50">
        <f>MAX(0,MIN(1,(N$3-Tracker!$D31+1)/(Tracker!$E31-Tracker!$D31+1)))</f>
        <v>1</v>
      </c>
      <c r="O26" s="50">
        <f>MAX(0,MIN(1,(O$3-Tracker!$D31+1)/(Tracker!$E31-Tracker!$D31+1)))</f>
        <v>1</v>
      </c>
      <c r="P26" s="50">
        <f>MAX(0,MIN(1,(P$3-Tracker!$D31+1)/(Tracker!$E31-Tracker!$D31+1)))</f>
        <v>1</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fitToHeight="0" orientation="landscape"/>
  <headerFooter>
    <oddFooter>&amp;L Project Owner: Louren Isobel Rubico&amp;R Page &amp;P of </oddFooter>
  </headerFooter>
  <drawing r:id="rId1"/>
</worksheet>
</file>