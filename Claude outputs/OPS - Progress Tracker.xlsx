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Tracker" sheetId="2" r:id="rId6"/>
    <sheet state="visible" name="Schedule" sheetId="3" r:id="rId7"/>
    <sheet state="visible" name="Weekly" sheetId="4" r:id="rId8"/>
    <sheet state="visible" name="User Stories" sheetId="5" r:id="rId9"/>
    <sheet state="visible" name="Story Summary" sheetId="6" r:id="rId10"/>
    <sheet state="visible" name="Lists" sheetId="7" r:id="rId11"/>
    <sheet state="visible" name="Plan calc" sheetId="8" r:id="rId12"/>
  </sheets>
  <definedNames/>
  <calcPr fullCalcOnLoad="1"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Input. Name shown on every sheet and in the print footer text.</t>
      </text>
    </comment>
    <comment authorId="0" ref="J32">
      <text>
        <t xml:space="preserve">Progress is weighted by Effort (days): SUMPRODUCT(effort, progress) / total effort. Each task's progress comes from its Status (see Lists sheet).</t>
      </text>
    </comment>
    <comment authorId="0" ref="C5">
      <text>
        <t xml:space="preserve">Formula =TODAY(). Type a date over it to see the tracker as of that day.</t>
      </text>
    </comment>
    <comment authorId="0" ref="C4">
      <text>
        <t xml:space="preserve">Input. Week 1 starts on this date. Set to 15 Sep 2026 so the 11-week plan ends 30 Nov 2026. Weeks and effort days are planning estimates.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">
      <text>
        <t xml:space="preserve">Example of the expected format: 0.0% at the start. In later weeks enter e.g. 12.5%.</t>
      </text>
    </comment>
  </commentList>
</comments>
</file>

<file path=xl/sharedStrings.xml><?xml version="1.0" encoding="utf-8"?>
<sst xmlns="http://schemas.openxmlformats.org/spreadsheetml/2006/main" count="581" uniqueCount="294">
  <si>
    <t>Inventory System – 3-Month Development Tracker</t>
  </si>
  <si>
    <t>Schedule: 13-week plan with progress</t>
  </si>
  <si>
    <t>Weekly progress: planned vs actual</t>
  </si>
  <si>
    <t>Project owner</t>
  </si>
  <si>
    <t>Week</t>
  </si>
  <si>
    <t>Louren Isobel Rubico</t>
  </si>
  <si>
    <t>Month 1</t>
  </si>
  <si>
    <t>Week starts</t>
  </si>
  <si>
    <t>Planned %</t>
  </si>
  <si>
    <t>Actual % (enter)</t>
  </si>
  <si>
    <t>Against plan (pts)</t>
  </si>
  <si>
    <t>Note</t>
  </si>
  <si>
    <t>HOW TO USE</t>
  </si>
  <si>
    <t>Project start date</t>
  </si>
  <si>
    <t>Start</t>
  </si>
  <si>
    <t>1. Set the project owner and start date (C3, C4).</t>
  </si>
  <si>
    <t>Report date (default = today)</t>
  </si>
  <si>
    <t>Month 2</t>
  </si>
  <si>
    <t>2. Pick a Status for each task in column I. Progress % is calculated from it (set what each status counts as on the Lists sheet).</t>
  </si>
  <si>
    <t>Current week (0 = not started)</t>
  </si>
  <si>
    <t>Month 3</t>
  </si>
  <si>
    <t>ID</t>
  </si>
  <si>
    <t>Task</t>
  </si>
  <si>
    <t>Progress</t>
  </si>
  <si>
    <t>3. At the end of each week, copy Overall progress (Tracker J32) into the Weekly sheet, column D.</t>
  </si>
  <si>
    <t>Blue text on yellow = editable. Weeks and effort days are planning estimates; change them freely (columns D to F).</t>
  </si>
  <si>
    <t>Work stream</t>
  </si>
  <si>
    <t>Start wk</t>
  </si>
  <si>
    <t>End wk</t>
  </si>
  <si>
    <t>Effort (days)</t>
  </si>
  <si>
    <t>Start date</t>
  </si>
  <si>
    <t>End date</t>
  </si>
  <si>
    <t>Status</t>
  </si>
  <si>
    <t>Progress %</t>
  </si>
  <si>
    <t>Planned % (this week)</t>
  </si>
  <si>
    <t>Flag</t>
  </si>
  <si>
    <t>Notes</t>
  </si>
  <si>
    <t>T01</t>
  </si>
  <si>
    <t>Foundation</t>
  </si>
  <si>
    <t>Project setup, architecture, design system</t>
  </si>
  <si>
    <t>Not started</t>
  </si>
  <si>
    <t>T02</t>
  </si>
  <si>
    <t>Database design and multi-tenant setup</t>
  </si>
  <si>
    <t>T03</t>
  </si>
  <si>
    <t>Admin-managed accounts, login, and roles</t>
  </si>
  <si>
    <t>T04</t>
  </si>
  <si>
    <t>Products and Catalog</t>
  </si>
  <si>
    <t>T05</t>
  </si>
  <si>
    <t>Inventory and Stock Control</t>
  </si>
  <si>
    <t>T06</t>
  </si>
  <si>
    <t>Settings and Store Profile</t>
  </si>
  <si>
    <t>T07</t>
  </si>
  <si>
    <t>Core selling</t>
  </si>
  <si>
    <t>Sales (barcode, cart, receipts)</t>
  </si>
  <si>
    <t>T08</t>
  </si>
  <si>
    <t>Purchasing and Suppliers</t>
  </si>
  <si>
    <t>T09</t>
  </si>
  <si>
    <t>Customers and Utang</t>
  </si>
  <si>
    <t>T10</t>
  </si>
  <si>
    <t>GCash, E-load, and Bills Payment</t>
  </si>
  <si>
    <t>T11</t>
  </si>
  <si>
    <t>Reports (sales, stock, profit)</t>
  </si>
  <si>
    <t>T12</t>
  </si>
  <si>
    <t>Subscription and Admin</t>
  </si>
  <si>
    <t>Subscription and Billing (plans, trial, payments)</t>
  </si>
  <si>
    <t>T13</t>
  </si>
  <si>
    <t>Plan-based access and trial limits</t>
  </si>
  <si>
    <t>T14</t>
  </si>
  <si>
    <t>Admin: User Accounts and Subscriber List</t>
  </si>
  <si>
    <t>T15</t>
  </si>
  <si>
    <t>Admin: Approval Queue and Payment Verification</t>
  </si>
  <si>
    <t>T16</t>
  </si>
  <si>
    <t>Admin: Plans, Trials, Invoices, Account Controls</t>
  </si>
  <si>
    <t>T17</t>
  </si>
  <si>
    <t>Admin: Revenue Reports, Roles, Audit Log</t>
  </si>
  <si>
    <t>T18</t>
  </si>
  <si>
    <t>Quality and launch</t>
  </si>
  <si>
    <t>Onboarding and Help</t>
  </si>
  <si>
    <t>T19</t>
  </si>
  <si>
    <t>Quality Assurance (QA) testing</t>
  </si>
  <si>
    <t>T20</t>
  </si>
  <si>
    <t>Bug fixing and retesting</t>
  </si>
  <si>
    <t>T21</t>
  </si>
  <si>
    <t>User Acceptance Testing (UAT) and sign-off</t>
  </si>
  <si>
    <t>T22</t>
  </si>
  <si>
    <t>Pilot with real stores</t>
  </si>
  <si>
    <t>User Stories: Inventory System</t>
  </si>
  <si>
    <t>T23</t>
  </si>
  <si>
    <t>Launch preparation and go-live</t>
  </si>
  <si>
    <t>Total / overall</t>
  </si>
  <si>
    <t>Module</t>
  </si>
  <si>
    <t>Role</t>
  </si>
  <si>
    <t>User story</t>
  </si>
  <si>
    <t>Acceptance criteria</t>
  </si>
  <si>
    <t>Priority</t>
  </si>
  <si>
    <t>Task status (from Tracker)</t>
  </si>
  <si>
    <t>Story status</t>
  </si>
  <si>
    <t>US01</t>
  </si>
  <si>
    <t>Accounts and access</t>
  </si>
  <si>
    <t>Admin</t>
  </si>
  <si>
    <t>As an Admin, I want to create store owner and staff accounts, so that only approved people can use the system.</t>
  </si>
  <si>
    <t>Only the Admin can add or edit accounts; there is no public sign-up; an account can be deactivated.</t>
  </si>
  <si>
    <t>Must</t>
  </si>
  <si>
    <t>Notes: Status drives Progress %; overall progress is weighted by effort days. 'Behind plan' = at least 25 points behind the planned % for the current week. Points = percentage points.</t>
  </si>
  <si>
    <t>OVERALL PROGRESS</t>
  </si>
  <si>
    <t>PLANNED BY END OF THIS WEEK</t>
  </si>
  <si>
    <t>AGAINST PLAN (POINTS)</t>
  </si>
  <si>
    <t>TASKS DONE</t>
  </si>
  <si>
    <t>US02</t>
  </si>
  <si>
    <t>Store Owner</t>
  </si>
  <si>
    <t>As a Store Owner, I want to log in with my own account and see only my store's data, so that my business information stays private.</t>
  </si>
  <si>
    <t>Login with username and password; data is separated per store; session ends after inactivity.</t>
  </si>
  <si>
    <t>US03</t>
  </si>
  <si>
    <t>As an Admin, I want to assign a role (Owner, Cashier, Stock Clerk) to each account, so that staff only see what they need.</t>
  </si>
  <si>
    <t>Each role has a permission list; a Cashier cannot see cost prices; changes apply at next login.</t>
  </si>
  <si>
    <t>US04</t>
  </si>
  <si>
    <t>Cashier</t>
  </si>
  <si>
    <t>As a Cashier, I want a simple screen focused on selling, so that I can serve customers quickly without mistakes.</t>
  </si>
  <si>
    <t>Cashier menu shows Sales and Customers only; no access to settings or cost prices.</t>
  </si>
  <si>
    <t>Should</t>
  </si>
  <si>
    <t>US05</t>
  </si>
  <si>
    <t>Products</t>
  </si>
  <si>
    <t>As a Store Owner, I want to add products with name, barcode, category, unit, cost, and price, so that I can sell and track every item.</t>
  </si>
  <si>
    <t>Required fields validated; duplicate barcode is rejected; product can be archived, not lost.</t>
  </si>
  <si>
    <t>US06</t>
  </si>
  <si>
    <t>Progress by work stream</t>
  </si>
  <si>
    <t>As a Store Owner, I want to sell the same item by piece, pack, or box, so that tingi and bulk sales both work.</t>
  </si>
  <si>
    <t>Unit conversions are set once (e.g. 1 box = 24 pcs); stock reduces correctly for each unit.</t>
  </si>
  <si>
    <t>Task status</t>
  </si>
  <si>
    <t>Actual %</t>
  </si>
  <si>
    <t>Tasks</t>
  </si>
  <si>
    <t>US07</t>
  </si>
  <si>
    <t>As a Store Owner, I want to import my product list from Excel or CSV, so that I do not retype hundreds of items.</t>
  </si>
  <si>
    <t>Import preview shows errors per row; valid rows are saved; a template file is provided.</t>
  </si>
  <si>
    <t>Done</t>
  </si>
  <si>
    <t>US08</t>
  </si>
  <si>
    <t>Inventory</t>
  </si>
  <si>
    <t>As a Store Owner, I want to see the current stock of every item in real time, so that I know what to buy next.</t>
  </si>
  <si>
    <t>Stock updates immediately after each sale, purchase, or adjustment; searchable by name or barcode.</t>
  </si>
  <si>
    <t>US09</t>
  </si>
  <si>
    <t>In progress</t>
  </si>
  <si>
    <t>Stock Clerk</t>
  </si>
  <si>
    <t>As a Stock Clerk, I want to adjust stock with a reason (damaged, lost, count), so that records match the shelf.</t>
  </si>
  <si>
    <t>Reason is required; every adjustment is logged with user and date.</t>
  </si>
  <si>
    <t>US10</t>
  </si>
  <si>
    <t>As a Store Owner, I want a list of low-stock items based on a reorder level, so that I restock before I run out.</t>
  </si>
  <si>
    <t>Reorder level set per item; low-stock list shown on the dashboard and inventory screen.</t>
  </si>
  <si>
    <t>In testing</t>
  </si>
  <si>
    <t>US11</t>
  </si>
  <si>
    <t>As a Stock Clerk, I want to do a physical stock count and see the differences, so that I can find missing items.</t>
  </si>
  <si>
    <t>Count sheet compares counted vs system quantity and shows the variance.</t>
  </si>
  <si>
    <t>Could</t>
  </si>
  <si>
    <t>US12</t>
  </si>
  <si>
    <t>All streams</t>
  </si>
  <si>
    <t>Purchasing</t>
  </si>
  <si>
    <t>As a Store Owner, I want to keep a list of suppliers, so that I know who sells what.</t>
  </si>
  <si>
    <t>Supplier has name, contact, and notes; linked to purchase orders.</t>
  </si>
  <si>
    <t>Behind plan</t>
  </si>
  <si>
    <t>US13</t>
  </si>
  <si>
    <t>As a Store Owner, I want to create purchase orders and receive goods, so that stock and cost prices update automatically.</t>
  </si>
  <si>
    <t>Receiving adds to stock, updates cost price, and supports partial delivery.</t>
  </si>
  <si>
    <t>Total tasks</t>
  </si>
  <si>
    <t>Charts update when you change Status on the Tracker sheet and enter Actual % on the Weekly sheet.</t>
  </si>
  <si>
    <t>US14</t>
  </si>
  <si>
    <t>Sales</t>
  </si>
  <si>
    <t>As a Cashier, I want to scan a barcode or search to add items, so that I can finish a sale in a few taps.</t>
  </si>
  <si>
    <t>Scan adds the item; quantity editable; average checkout under 15 seconds in pilot stores.</t>
  </si>
  <si>
    <t>US15</t>
  </si>
  <si>
    <t>As a Cashier, I want to apply a discount and give a receipt, so that customers get a proper record of their purchase.</t>
  </si>
  <si>
    <t>Item or order discount; receipt can be printed on a Bluetooth printer or shared.</t>
  </si>
  <si>
    <t>US16</t>
  </si>
  <si>
    <t>As a Cashier, I want to hold a sale and recall it, and to void with a reason, so that I can handle interruptions and mistakes.</t>
  </si>
  <si>
    <t>Held sales listed per cashier; void needs a reason and is logged.</t>
  </si>
  <si>
    <t>US17</t>
  </si>
  <si>
    <t>As a Store Owner, I want every sale to reduce stock automatically, so that I never update stock twice.</t>
  </si>
  <si>
    <t>Stock reduces on completed sale and returns on void; movements are recorded.</t>
  </si>
  <si>
    <t>US18</t>
  </si>
  <si>
    <t>As a Cashier, I want to record a sale on credit (utang) to a named customer, so that I can serve regulars who pay later.</t>
  </si>
  <si>
    <t>Customer selected or added during checkout; credit limit warning shown.</t>
  </si>
  <si>
    <t>US19</t>
  </si>
  <si>
    <t>As a Store Owner, I want to record partial payments and see each customer's balance, so that I collect what I am owed.</t>
  </si>
  <si>
    <t>Payments reduce the balance; running ledger per customer; receipt for payment.</t>
  </si>
  <si>
    <t>US20</t>
  </si>
  <si>
    <t>As a Store Owner, I want a list of customers with unpaid balances, so that I know who to follow up.</t>
  </si>
  <si>
    <t>List sorted by amount and date; can be exported.</t>
  </si>
  <si>
    <t>US21</t>
  </si>
  <si>
    <t>GCash, E-load, Bills</t>
  </si>
  <si>
    <t>As a Cashier, I want to record GCash cash-in and cash-out with the service fee, so that my wallet balance and income are accurate.</t>
  </si>
  <si>
    <t>Transaction type, amount, fee, and reference recorded; wallet balance updates; daily total shown.</t>
  </si>
  <si>
    <t>US22</t>
  </si>
  <si>
    <t>As a Cashier, I want to record e-load sales and track my load wallet, so that I know when to top up.</t>
  </si>
  <si>
    <t>Load amount and network recorded; wallet balance and earnings shown.</t>
  </si>
  <si>
    <t>US23</t>
  </si>
  <si>
    <t>As a Cashier, I want to record bills payments with the service fee, so that collections and income are tracked.</t>
  </si>
  <si>
    <t>Biller, amount, fee, and reference recorded; daily total shown.</t>
  </si>
  <si>
    <t>US24</t>
  </si>
  <si>
    <t>Reports</t>
  </si>
  <si>
    <t>As a Store Owner, I want to see daily sales, cost, and profit, so that I know if the store is earning.</t>
  </si>
  <si>
    <t>Report by day, week, and month; profit = sales minus cost of goods sold; export to PDF or Excel.</t>
  </si>
  <si>
    <t>Status list: what each status counts as</t>
  </si>
  <si>
    <t>US25</t>
  </si>
  <si>
    <t>Counts as progress</t>
  </si>
  <si>
    <t>What it means</t>
  </si>
  <si>
    <t>As a Store Owner, I want to see best sellers, slow movers, and stock value, so that I buy the right items.</t>
  </si>
  <si>
    <t>Ranked lists for chosen period; stock value uses cost price.</t>
  </si>
  <si>
    <t>Work has not begun</t>
  </si>
  <si>
    <t>Being built or written</t>
  </si>
  <si>
    <t>Built; being tested or reviewed</t>
  </si>
  <si>
    <t>US26</t>
  </si>
  <si>
    <t>Finished and accepted</t>
  </si>
  <si>
    <t>Settings and onboarding</t>
  </si>
  <si>
    <t>As a Store Owner, I want to set my store name, receipt header, units, and language (English or Filipino), so that the system fits my store.</t>
  </si>
  <si>
    <t>Change the percentages (blue) if you want a different weighting. Keep Not started at 0% and Done at 100%. Do not rename the statuses: they feed the dropdowns, counts, and charts.</t>
  </si>
  <si>
    <t>Settings saved per store; language switch applies to all screens.</t>
  </si>
  <si>
    <t>US27</t>
  </si>
  <si>
    <t>New Store Owner</t>
  </si>
  <si>
    <t>As a new Store Owner, I want guided setup and a starter product list, so that I can start selling on my first day.</t>
  </si>
  <si>
    <t>Setup checklist: store profile, first products, first sale; common sari-sari items available to add.</t>
  </si>
  <si>
    <t>US28</t>
  </si>
  <si>
    <t>Subscription and billing</t>
  </si>
  <si>
    <t>As a new Store Owner, I want to start with a free trial, so that I can try the system before paying.</t>
  </si>
  <si>
    <t>Trial account created by the Admin; core modules available with limits; trial end date visible.</t>
  </si>
  <si>
    <t>US29</t>
  </si>
  <si>
    <t>As a Store Owner, I want to choose a plan and pay by card, GCash, Maya, or bank transfer, so that I can keep using the system.</t>
  </si>
  <si>
    <t>Plan summary shown before payment; receipt or invoice issued after payment.</t>
  </si>
  <si>
    <t>US30</t>
  </si>
  <si>
    <t>As a Store Owner, I want to upload proof of a manual payment and see its status, so that I know when my account is approved.</t>
  </si>
  <si>
    <t>Status shows Pending approval, Approved, or Rejected with the reason.</t>
  </si>
  <si>
    <t>US31</t>
  </si>
  <si>
    <t>Trial User</t>
  </si>
  <si>
    <t>As a Trial User, I want to see which modules are locked and what unlocks them, so that I can decide whether to subscribe.</t>
  </si>
  <si>
    <t>Plan calculation (no inputs)</t>
  </si>
  <si>
    <t>Locked modules visible with a Subscribe or Upgrade button; no data is lost on upgrade.</t>
  </si>
  <si>
    <t>US32</t>
  </si>
  <si>
    <t>As a Store Owner, I want to see my plan, renewal date, and invoices, and to upgrade or cancel, so that I control my subscription.</t>
  </si>
  <si>
    <t>Billing page lists invoices; upgrade applies immediately; cancel keeps data exportable.</t>
  </si>
  <si>
    <t>US33</t>
  </si>
  <si>
    <t>As a Store Owner, I want my account to become read-only, not deleted, if payment lapses, so that I never lose my records.</t>
  </si>
  <si>
    <t>Grace period, then read-only mode; paying restores full access.</t>
  </si>
  <si>
    <t>US34</t>
  </si>
  <si>
    <t>Admin console</t>
  </si>
  <si>
    <t>As an Admin, I want a list of all subscribers with plan, status, and renewal date, so that I can manage them in one place.</t>
  </si>
  <si>
    <t>Search and filter by status or plan; open an account; export to CSV.</t>
  </si>
  <si>
    <t>US35</t>
  </si>
  <si>
    <t>Billing Approver</t>
  </si>
  <si>
    <t>As a Billing Approver, I want an approval queue for subscriptions, plan changes, and manual payments, so that I can approve or reject them.</t>
  </si>
  <si>
    <t>Approve or reject with a reason; the subscriber is notified of the result.</t>
  </si>
  <si>
    <t>US36</t>
  </si>
  <si>
    <t>As a Billing Approver, I want payments matched to invoices, so that I can spot mismatches and duplicates.</t>
  </si>
  <si>
    <t>Gateway payments and uploaded proofs listed per invoice; mismatches flagged.</t>
  </si>
  <si>
    <t>US37</t>
  </si>
  <si>
    <t>As an Admin, I want to create and edit plans, prices, and module access per plan, so that I can change what each plan offers.</t>
  </si>
  <si>
    <t>Plan changes apply to new and renewing subscribers; locked modules follow the plan.</t>
  </si>
  <si>
    <t>US38</t>
  </si>
  <si>
    <t>As an Admin, I want to extend or convert a trial, suspend or reactivate an account, so that I can handle special cases.</t>
  </si>
  <si>
    <t>Each action needs a reason and is logged.</t>
  </si>
  <si>
    <t>US39</t>
  </si>
  <si>
    <t>As an Admin, I want to issue invoices, credits, and refunds with a second approver, so that money actions are controlled.</t>
  </si>
  <si>
    <t>The requester cannot approve their own refund or credit.</t>
  </si>
  <si>
    <t>User story summary</t>
  </si>
  <si>
    <t>US40</t>
  </si>
  <si>
    <t>As an Admin, I want revenue and subscriber reports, so that I can see growth and churn.</t>
  </si>
  <si>
    <t>Recurring revenue, new subscribers, churn, and pending approvals by period.</t>
  </si>
  <si>
    <t>Summary</t>
  </si>
  <si>
    <t>US41</t>
  </si>
  <si>
    <t>As an Admin, I want an audit log of approvals and changes, so that every action can be traced.</t>
  </si>
  <si>
    <t>Log shows who, what, and when; entries cannot be edited or deleted.</t>
  </si>
  <si>
    <t>Total stories</t>
  </si>
  <si>
    <t>Must have</t>
  </si>
  <si>
    <t>US42</t>
  </si>
  <si>
    <t>Project Owner</t>
  </si>
  <si>
    <t>As the Project Owner, I want every module tested against its acceptance criteria, so that defects are found before stores use it.</t>
  </si>
  <si>
    <t>QA test results recorded per module; critical defects fixed before UAT.</t>
  </si>
  <si>
    <t>Should have</t>
  </si>
  <si>
    <t>Could have</t>
  </si>
  <si>
    <t>Stories done</t>
  </si>
  <si>
    <t>US43</t>
  </si>
  <si>
    <t>As the Project Owner, I want defects fixed and retested, so that problems found in QA do not reach stores.</t>
  </si>
  <si>
    <t>Every defect has an owner and status; fixed items are retested and closed before UAT.</t>
  </si>
  <si>
    <t>Average story progress</t>
  </si>
  <si>
    <t>Stories by module</t>
  </si>
  <si>
    <t>US44</t>
  </si>
  <si>
    <t>As the Project Owner, I want real users to test the system and sign off (UAT), so that we launch only when it works for stores.</t>
  </si>
  <si>
    <t>UAT scenarios run by store users and the owner; written sign-off before go-live.</t>
  </si>
  <si>
    <t>Stories</t>
  </si>
  <si>
    <t>Avg progress</t>
  </si>
  <si>
    <t>US45</t>
  </si>
  <si>
    <t>As a pilot Store Owner, I want to use the system daily in my real store, so that problems are found early.</t>
  </si>
  <si>
    <t>Pilot stores use it for daily sales; issues are logged and prioritized.</t>
  </si>
  <si>
    <t>US46</t>
  </si>
  <si>
    <t>As the Project Owner, I want a go-live checklist, so that the launch is safe and nothing is missed.</t>
  </si>
  <si>
    <t>Checklist covers data, accounts, payment setup, backups, and support readiness; each item signed off.</t>
  </si>
  <si>
    <t>Priority: Must = needed for launch, Should = important, Could = nice to have (assumed by the author). Set each story's Status in column I (Progress % follows from it). Task status is shown for reference only.</t>
  </si>
  <si>
    <t>All figures are formulas linked to the User Stories sheet.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</si>
</sst>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\W0"/>
    <numFmt numFmtId="165" formatCode="mmm\ d&quot;, &quot;yyyy"/>
    <numFmt numFmtId="166" formatCode="mmm\ d"/>
    <numFmt numFmtId="167" formatCode="0.0%"/>
    <numFmt numFmtId="168" formatCode="\+0.0;\-0.0;0.0"/>
    <numFmt numFmtId="169" formatCode="\+0;\-0;0"/>
    <numFmt numFmtId="170" formatCode=";;;"/>
  </numFmts>
  <fonts count="31">
    <font>
      <sz val="11.0"/>
      <color theme="1"/>
      <name val="Calibri"/>
      <scheme val="minor"/>
    </font>
    <font>
      <b/>
      <sz val="18.0"/>
      <color rgb="FFFFFFFF"/>
      <name val="Arial"/>
    </font>
    <font>
      <sz val="11.0"/>
      <color theme="1"/>
      <name val="Calibri"/>
    </font>
    <font>
      <sz val="10.0"/>
      <color rgb="FFCFE3E0"/>
      <name val="Arial"/>
    </font>
    <font>
      <b/>
      <sz val="10.0"/>
      <color rgb="FF0F2B3A"/>
      <name val="Arial"/>
    </font>
    <font>
      <b/>
      <sz val="10.0"/>
      <color rgb="FFFFFFFF"/>
      <name val="Arial"/>
    </font>
    <font>
      <b/>
      <sz val="10.0"/>
      <color rgb="FF0000FF"/>
      <name val="Arial"/>
    </font>
    <font>
      <b/>
      <sz val="9.0"/>
      <color rgb="FF0E7C7B"/>
      <name val="Arial"/>
    </font>
    <font>
      <sz val="10.0"/>
      <color rgb="FF0000FF"/>
      <name val="Arial"/>
    </font>
    <font>
      <sz val="10.0"/>
      <color rgb="FF0F2B3A"/>
      <name val="Arial"/>
    </font>
    <font/>
    <font>
      <sz val="9.0"/>
      <color rgb="FF4F6068"/>
      <name val="Arial"/>
    </font>
    <font>
      <sz val="9.0"/>
      <color rgb="FFFFFFFF"/>
      <name val="Arial"/>
    </font>
    <font>
      <b/>
      <sz val="10.0"/>
      <color rgb="FF4F6068"/>
      <name val="Arial"/>
    </font>
    <font>
      <sz val="8.0"/>
      <color rgb="FFFFFFFF"/>
      <name val="Arial"/>
    </font>
    <font>
      <sz val="9.0"/>
      <color rgb="FF0F2B3A"/>
      <name val="Arial"/>
    </font>
    <font>
      <b/>
      <sz val="9.0"/>
      <color rgb="FF33444B"/>
      <name val="Arial"/>
    </font>
    <font>
      <b/>
      <sz val="9.0"/>
      <color rgb="FF0F2B3A"/>
      <name val="Arial"/>
    </font>
    <font>
      <b/>
      <sz val="9.0"/>
      <color rgb="FF0000FF"/>
      <name val="Arial"/>
    </font>
    <font>
      <b/>
      <sz val="22.0"/>
      <color rgb="FFFFFFFF"/>
      <name val="Arial"/>
    </font>
    <font>
      <b/>
      <sz val="11.0"/>
      <color rgb="FF0E7C7B"/>
      <name val="Arial"/>
    </font>
    <font>
      <b/>
      <sz val="11.0"/>
      <color rgb="FF0F2B3A"/>
      <name val="Arial"/>
    </font>
    <font>
      <sz val="11.0"/>
      <color rgb="FFCFE3E0"/>
      <name val="Arial"/>
    </font>
    <font>
      <i/>
      <sz val="9.0"/>
      <color rgb="FF4F6068"/>
      <name val="Arial"/>
    </font>
    <font>
      <b/>
      <sz val="9.0"/>
      <color rgb="FF4F6068"/>
      <name val="Arial"/>
    </font>
    <font>
      <b/>
      <sz val="28.0"/>
      <color rgb="FF0E7C7B"/>
      <name val="Arial"/>
    </font>
    <font>
      <b/>
      <sz val="28.0"/>
      <color rgb="FF0F2B3A"/>
      <name val="Arial"/>
    </font>
    <font>
      <sz val="10.0"/>
      <color rgb="FF4F6068"/>
      <name val="Arial"/>
    </font>
    <font>
      <b/>
      <sz val="13.0"/>
      <color rgb="FF0F2B3A"/>
      <name val="Arial"/>
    </font>
    <font>
      <b/>
      <sz val="10.0"/>
      <color rgb="FF0E7C7B"/>
      <name val="Arial"/>
    </font>
    <font>
      <b/>
      <sz val="10.0"/>
      <color rgb="FF9A3412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F2B3A"/>
        <bgColor rgb="FF0F2B3A"/>
      </patternFill>
    </fill>
    <fill>
      <patternFill patternType="solid">
        <fgColor rgb="FFFFFF99"/>
        <bgColor rgb="FFFFFF99"/>
      </patternFill>
    </fill>
    <fill>
      <patternFill patternType="solid">
        <fgColor rgb="FFD7EFEB"/>
        <bgColor rgb="FFD7EFEB"/>
      </patternFill>
    </fill>
    <fill>
      <patternFill patternType="solid">
        <fgColor rgb="FFFBE9C6"/>
        <bgColor rgb="FFFBE9C6"/>
      </patternFill>
    </fill>
    <fill>
      <patternFill patternType="solid">
        <fgColor rgb="FFDCE6F2"/>
        <bgColor rgb="FFDCE6F2"/>
      </patternFill>
    </fill>
    <fill>
      <patternFill patternType="solid">
        <fgColor rgb="FFEEF3F2"/>
        <bgColor rgb="FFEEF3F2"/>
      </patternFill>
    </fill>
    <fill>
      <patternFill patternType="solid">
        <fgColor rgb="FFFFFFFF"/>
        <bgColor rgb="FFFFFFFF"/>
      </patternFill>
    </fill>
    <fill>
      <patternFill patternType="solid">
        <fgColor rgb="FF0E7C7B"/>
        <bgColor rgb="FF0E7C7B"/>
      </patternFill>
    </fill>
    <fill>
      <patternFill patternType="solid">
        <fgColor rgb="FFE8A33D"/>
        <bgColor rgb="FFE8A33D"/>
      </patternFill>
    </fill>
    <fill>
      <patternFill patternType="solid">
        <fgColor rgb="FFE9E0F2"/>
        <bgColor rgb="FFE9E0F2"/>
      </patternFill>
    </fill>
    <fill>
      <patternFill patternType="solid">
        <fgColor rgb="FFE8ECEB"/>
        <bgColor rgb="FFE8ECEB"/>
      </patternFill>
    </fill>
  </fills>
  <borders count="13">
    <border/>
    <border>
      <left/>
      <right/>
      <top/>
      <bottom/>
    </border>
    <border>
      <left style="thin">
        <color rgb="FFD5DEDC"/>
      </left>
      <right style="thin">
        <color rgb="FFD5DEDC"/>
      </right>
      <top style="thin">
        <color rgb="FFD5DEDC"/>
      </top>
      <bottom style="thin">
        <color rgb="FFD5DEDC"/>
      </bottom>
    </border>
    <border>
      <left style="thin">
        <color rgb="FFD5DEDC"/>
      </left>
      <top style="thin">
        <color rgb="FFD5DEDC"/>
      </top>
      <bottom style="thin">
        <color rgb="FFD5DEDC"/>
      </bottom>
    </border>
    <border>
      <top style="thin">
        <color rgb="FFD5DEDC"/>
      </top>
      <bottom style="thin">
        <color rgb="FFD5DEDC"/>
      </bottom>
    </border>
    <border>
      <right style="thin">
        <color rgb="FFD5DEDC"/>
      </right>
      <top style="thin">
        <color rgb="FFD5DEDC"/>
      </top>
      <bottom style="thin">
        <color rgb="FFD5DEDC"/>
      </bottom>
    </border>
    <border>
      <left style="thin">
        <color rgb="FFD5DEDC"/>
      </left>
      <top style="thin">
        <color rgb="FFD5DEDC"/>
      </top>
      <bottom/>
    </border>
    <border>
      <right style="thin">
        <color rgb="FFD5DEDC"/>
      </right>
      <top style="thin">
        <color rgb="FFD5DEDC"/>
      </top>
      <bottom/>
    </border>
    <border>
      <left style="thin">
        <color rgb="FFD5DEDC"/>
      </left>
      <top/>
      <bottom/>
    </border>
    <border>
      <right style="thin">
        <color rgb="FFD5DEDC"/>
      </right>
      <top/>
      <bottom/>
    </border>
    <border>
      <left style="thin">
        <color rgb="FFD5DEDC"/>
      </left>
      <top/>
      <bottom style="thin">
        <color rgb="FFD5DEDC"/>
      </bottom>
    </border>
    <border>
      <right style="thin">
        <color rgb="FFD5DEDC"/>
      </right>
      <top/>
      <bottom style="thin">
        <color rgb="FFD5DEDC"/>
      </bottom>
    </border>
    <border>
      <bottom style="medium">
        <color rgb="FF0E7C7B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1" fillId="2" fontId="2" numFmtId="0" xfId="0" applyAlignment="1" applyBorder="1" applyFill="1" applyFont="1">
      <alignment shrinkToFit="0" vertical="bottom" wrapText="0"/>
    </xf>
    <xf borderId="1" fillId="2" fontId="3" numFmtId="0" xfId="0" applyAlignment="1" applyBorder="1" applyFill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2" fillId="2" fontId="5" numFmtId="0" xfId="0" applyAlignment="1" applyBorder="1" applyFill="1" applyFont="1">
      <alignment horizontal="center" shrinkToFit="0" vertical="center" wrapText="1"/>
    </xf>
    <xf borderId="2" fillId="3" fontId="6" numFmtId="0" xfId="0" applyAlignment="1" applyBorder="1" applyFill="1" applyFont="1">
      <alignment horizontal="left" shrinkToFit="0" vertical="center" wrapText="0"/>
    </xf>
    <xf borderId="0" fillId="0" fontId="7" numFmtId="0" xfId="0" applyAlignment="1" applyFont="1">
      <alignment shrinkToFit="0" vertical="center" wrapText="0"/>
    </xf>
    <xf borderId="2" fillId="0" fontId="4" numFmtId="164" xfId="0" applyAlignment="1" applyBorder="1" applyFont="1" applyNumberFormat="1">
      <alignment horizontal="center" shrinkToFit="0" vertical="center" wrapText="0"/>
    </xf>
    <xf borderId="3" fillId="4" fontId="4" numFmtId="0" xfId="0" applyAlignment="1" applyBorder="1" applyFill="1" applyFont="1">
      <alignment horizontal="center" shrinkToFit="0" vertical="center" wrapText="0"/>
    </xf>
    <xf borderId="2" fillId="3" fontId="8" numFmtId="165" xfId="0" applyAlignment="1" applyBorder="1" applyFill="1" applyFont="1" applyNumberFormat="1">
      <alignment horizontal="center" readingOrder="0" shrinkToFit="0" vertical="center" wrapText="0"/>
    </xf>
    <xf borderId="2" fillId="0" fontId="9" numFmtId="166" xfId="0" applyAlignment="1" applyBorder="1" applyFont="1" applyNumberFormat="1">
      <alignment horizontal="center" shrinkToFit="0" vertical="center" wrapText="0"/>
    </xf>
    <xf borderId="4" fillId="0" fontId="10" numFmtId="0" xfId="0" applyBorder="1" applyFont="1"/>
    <xf borderId="0" fillId="0" fontId="11" numFmtId="0" xfId="0" applyAlignment="1" applyFont="1">
      <alignment shrinkToFit="0" vertical="center" wrapText="0"/>
    </xf>
    <xf borderId="5" fillId="0" fontId="10" numFmtId="0" xfId="0" applyBorder="1" applyFont="1"/>
    <xf borderId="2" fillId="0" fontId="9" numFmtId="165" xfId="0" applyAlignment="1" applyBorder="1" applyFont="1" applyNumberFormat="1">
      <alignment horizontal="center" shrinkToFit="0" vertical="center" wrapText="0"/>
    </xf>
    <xf borderId="3" fillId="5" fontId="4" numFmtId="0" xfId="0" applyAlignment="1" applyBorder="1" applyFill="1" applyFont="1">
      <alignment horizontal="center" shrinkToFit="0" vertical="center" wrapText="0"/>
    </xf>
    <xf borderId="3" fillId="6" fontId="4" numFmtId="0" xfId="0" applyAlignment="1" applyBorder="1" applyFill="1" applyFont="1">
      <alignment horizontal="center" shrinkToFit="0" vertical="center" wrapText="0"/>
    </xf>
    <xf borderId="2" fillId="0" fontId="9" numFmtId="167" xfId="0" applyAlignment="1" applyBorder="1" applyFont="1" applyNumberFormat="1">
      <alignment horizontal="center" shrinkToFit="0" vertical="center" wrapText="0"/>
    </xf>
    <xf borderId="2" fillId="2" fontId="5" numFmtId="0" xfId="0" applyAlignment="1" applyBorder="1" applyFill="1" applyFont="1">
      <alignment horizontal="center" shrinkToFit="0" vertical="center" wrapText="0"/>
    </xf>
    <xf borderId="2" fillId="2" fontId="5" numFmtId="0" xfId="0" applyAlignment="1" applyBorder="1" applyFill="1" applyFont="1">
      <alignment shrinkToFit="0" vertical="center" wrapText="0"/>
    </xf>
    <xf borderId="2" fillId="3" fontId="6" numFmtId="167" xfId="0" applyAlignment="1" applyBorder="1" applyFill="1" applyFont="1" applyNumberFormat="1">
      <alignment horizontal="center" shrinkToFit="0" vertical="center" wrapText="0"/>
    </xf>
    <xf borderId="2" fillId="2" fontId="5" numFmtId="164" xfId="0" applyAlignment="1" applyBorder="1" applyFill="1" applyFont="1" applyNumberFormat="1">
      <alignment horizontal="center" shrinkToFit="0" vertical="center" wrapText="0"/>
    </xf>
    <xf borderId="2" fillId="0" fontId="4" numFmtId="1" xfId="0" applyAlignment="1" applyBorder="1" applyFont="1" applyNumberFormat="1">
      <alignment horizontal="center" shrinkToFit="0" vertical="center" wrapText="0"/>
    </xf>
    <xf borderId="2" fillId="2" fontId="9" numFmtId="0" xfId="0" applyAlignment="1" applyBorder="1" applyFill="1" applyFont="1">
      <alignment shrinkToFit="0" vertical="center" wrapText="0"/>
    </xf>
    <xf borderId="2" fillId="2" fontId="12" numFmtId="0" xfId="0" applyAlignment="1" applyBorder="1" applyFill="1" applyFont="1">
      <alignment shrinkToFit="0" vertical="center" wrapText="0"/>
    </xf>
    <xf borderId="2" fillId="0" fontId="9" numFmtId="168" xfId="0" applyAlignment="1" applyBorder="1" applyFont="1" applyNumberFormat="1">
      <alignment horizontal="center" shrinkToFit="0" vertical="center" wrapText="0"/>
    </xf>
    <xf borderId="2" fillId="0" fontId="9" numFmtId="0" xfId="0" applyAlignment="1" applyBorder="1" applyFont="1">
      <alignment shrinkToFit="0" vertical="center" wrapText="0"/>
    </xf>
    <xf borderId="2" fillId="0" fontId="13" numFmtId="0" xfId="0" applyAlignment="1" applyBorder="1" applyFont="1">
      <alignment horizontal="center" shrinkToFit="0" vertical="center" wrapText="0"/>
    </xf>
    <xf borderId="2" fillId="2" fontId="14" numFmtId="166" xfId="0" applyAlignment="1" applyBorder="1" applyFill="1" applyFont="1" applyNumberFormat="1">
      <alignment horizontal="center" shrinkToFit="0" vertical="center" wrapText="0"/>
    </xf>
    <xf borderId="2" fillId="0" fontId="15" numFmtId="0" xfId="0" applyAlignment="1" applyBorder="1" applyFont="1">
      <alignment horizontal="center" shrinkToFit="0" vertical="center" wrapText="0"/>
    </xf>
    <xf borderId="2" fillId="0" fontId="9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center" shrinkToFit="0" vertical="center" wrapText="0"/>
    </xf>
    <xf borderId="2" fillId="3" fontId="16" numFmtId="0" xfId="0" applyAlignment="1" applyBorder="1" applyFill="1" applyFont="1">
      <alignment horizontal="center" readingOrder="0" shrinkToFit="0" vertical="center" wrapText="0"/>
    </xf>
    <xf borderId="2" fillId="0" fontId="4" numFmtId="9" xfId="0" applyAlignment="1" applyBorder="1" applyFont="1" applyNumberFormat="1">
      <alignment horizontal="center" shrinkToFit="0" vertical="center" wrapText="0"/>
    </xf>
    <xf borderId="2" fillId="0" fontId="9" numFmtId="9" xfId="0" applyAlignment="1" applyBorder="1" applyFont="1" applyNumberFormat="1">
      <alignment horizontal="center" shrinkToFit="0" vertical="center" wrapText="0"/>
    </xf>
    <xf borderId="2" fillId="0" fontId="9" numFmtId="169" xfId="0" applyAlignment="1" applyBorder="1" applyFont="1" applyNumberFormat="1">
      <alignment horizontal="center" shrinkToFit="0" vertical="center" wrapText="0"/>
    </xf>
    <xf borderId="2" fillId="0" fontId="9" numFmtId="170" xfId="0" applyAlignment="1" applyBorder="1" applyFont="1" applyNumberFormat="1">
      <alignment horizontal="center" shrinkToFit="0" vertical="center" wrapText="0"/>
    </xf>
    <xf borderId="2" fillId="0" fontId="17" numFmtId="0" xfId="0" applyAlignment="1" applyBorder="1" applyFont="1">
      <alignment horizontal="center" shrinkToFit="0" vertical="center" wrapText="0"/>
    </xf>
    <xf borderId="2" fillId="3" fontId="18" numFmtId="0" xfId="0" applyAlignment="1" applyBorder="1" applyFill="1" applyFont="1">
      <alignment horizontal="center" shrinkToFit="0" vertical="center" wrapText="0"/>
    </xf>
    <xf borderId="2" fillId="7" fontId="4" numFmtId="0" xfId="0" applyAlignment="1" applyBorder="1" applyFill="1" applyFont="1">
      <alignment shrinkToFit="0" vertical="center" wrapText="0"/>
    </xf>
    <xf borderId="2" fillId="7" fontId="9" numFmtId="0" xfId="0" applyAlignment="1" applyBorder="1" applyFill="1" applyFont="1">
      <alignment shrinkToFit="0" vertical="center" wrapText="0"/>
    </xf>
    <xf borderId="1" fillId="2" fontId="19" numFmtId="0" xfId="0" applyAlignment="1" applyBorder="1" applyFill="1" applyFont="1">
      <alignment shrinkToFit="0" vertical="center" wrapText="0"/>
    </xf>
    <xf borderId="2" fillId="0" fontId="13" numFmtId="0" xfId="0" applyAlignment="1" applyBorder="1" applyFont="1">
      <alignment horizontal="center" shrinkToFit="0" vertical="top" wrapText="0"/>
    </xf>
    <xf borderId="2" fillId="7" fontId="4" numFmtId="0" xfId="0" applyAlignment="1" applyBorder="1" applyFill="1" applyFont="1">
      <alignment horizontal="center" shrinkToFit="0" vertical="center" wrapText="0"/>
    </xf>
    <xf borderId="2" fillId="0" fontId="17" numFmtId="0" xfId="0" applyAlignment="1" applyBorder="1" applyFont="1">
      <alignment horizontal="center" shrinkToFit="0" vertical="top" wrapText="1"/>
    </xf>
    <xf borderId="2" fillId="0" fontId="9" numFmtId="0" xfId="0" applyAlignment="1" applyBorder="1" applyFont="1">
      <alignment horizontal="center" shrinkToFit="0" vertical="top" wrapText="1"/>
    </xf>
    <xf borderId="2" fillId="0" fontId="9" numFmtId="0" xfId="0" applyAlignment="1" applyBorder="1" applyFont="1">
      <alignment shrinkToFit="0" vertical="top" wrapText="1"/>
    </xf>
    <xf borderId="2" fillId="0" fontId="11" numFmtId="0" xfId="0" applyAlignment="1" applyBorder="1" applyFont="1">
      <alignment shrinkToFit="0" vertical="top" wrapText="1"/>
    </xf>
    <xf borderId="2" fillId="7" fontId="20" numFmtId="167" xfId="0" applyAlignment="1" applyBorder="1" applyFill="1" applyFont="1" applyNumberFormat="1">
      <alignment horizontal="center" shrinkToFit="0" vertical="center" wrapText="0"/>
    </xf>
    <xf borderId="2" fillId="0" fontId="17" numFmtId="0" xfId="0" applyAlignment="1" applyBorder="1" applyFont="1">
      <alignment horizontal="center" shrinkToFit="0" vertical="top" wrapText="0"/>
    </xf>
    <xf borderId="2" fillId="0" fontId="8" numFmtId="0" xfId="0" applyAlignment="1" applyBorder="1" applyFont="1">
      <alignment horizontal="center" shrinkToFit="0" vertical="top" wrapText="0"/>
    </xf>
    <xf borderId="2" fillId="7" fontId="21" numFmtId="167" xfId="0" applyAlignment="1" applyBorder="1" applyFill="1" applyFont="1" applyNumberFormat="1">
      <alignment horizontal="center" shrinkToFit="0" vertical="center" wrapText="0"/>
    </xf>
    <xf borderId="2" fillId="7" fontId="21" numFmtId="168" xfId="0" applyAlignment="1" applyBorder="1" applyFill="1" applyFont="1" applyNumberFormat="1">
      <alignment horizontal="center" shrinkToFit="0" vertical="center" wrapText="0"/>
    </xf>
    <xf borderId="1" fillId="2" fontId="22" numFmtId="0" xfId="0" applyAlignment="1" applyBorder="1" applyFill="1" applyFont="1">
      <alignment shrinkToFit="0" vertical="center" wrapText="0"/>
    </xf>
    <xf borderId="0" fillId="0" fontId="23" numFmtId="0" xfId="0" applyAlignment="1" applyFont="1">
      <alignment shrinkToFit="0" vertical="center" wrapText="0"/>
    </xf>
    <xf borderId="2" fillId="0" fontId="11" numFmtId="0" xfId="0" applyAlignment="1" applyBorder="1" applyFont="1">
      <alignment horizontal="center" shrinkToFit="0" vertical="top" wrapText="0"/>
    </xf>
    <xf borderId="2" fillId="3" fontId="18" numFmtId="0" xfId="0" applyAlignment="1" applyBorder="1" applyFill="1" applyFont="1">
      <alignment horizontal="center" shrinkToFit="0" vertical="top" wrapText="0"/>
    </xf>
    <xf borderId="6" fillId="8" fontId="24" numFmtId="0" xfId="0" applyAlignment="1" applyBorder="1" applyFill="1" applyFont="1">
      <alignment horizontal="center" shrinkToFit="0" vertical="center" wrapText="0"/>
    </xf>
    <xf borderId="7" fillId="0" fontId="10" numFmtId="0" xfId="0" applyBorder="1" applyFont="1"/>
    <xf borderId="2" fillId="0" fontId="4" numFmtId="9" xfId="0" applyAlignment="1" applyBorder="1" applyFont="1" applyNumberFormat="1">
      <alignment horizontal="center" shrinkToFit="0" vertical="top" wrapText="0"/>
    </xf>
    <xf borderId="8" fillId="8" fontId="25" numFmtId="167" xfId="0" applyAlignment="1" applyBorder="1" applyFill="1" applyFont="1" applyNumberFormat="1">
      <alignment horizontal="center" shrinkToFit="0" vertical="center" wrapText="0"/>
    </xf>
    <xf borderId="9" fillId="0" fontId="10" numFmtId="0" xfId="0" applyBorder="1" applyFont="1"/>
    <xf borderId="8" fillId="8" fontId="26" numFmtId="167" xfId="0" applyAlignment="1" applyBorder="1" applyFill="1" applyFont="1" applyNumberFormat="1">
      <alignment horizontal="center" shrinkToFit="0" vertical="center" wrapText="0"/>
    </xf>
    <xf borderId="8" fillId="8" fontId="26" numFmtId="168" xfId="0" applyAlignment="1" applyBorder="1" applyFill="1" applyFont="1" applyNumberFormat="1">
      <alignment horizontal="center" shrinkToFit="0" vertical="center" wrapText="0"/>
    </xf>
    <xf borderId="8" fillId="8" fontId="26" numFmtId="0" xfId="0" applyAlignment="1" applyBorder="1" applyFill="1" applyFont="1">
      <alignment horizontal="center" shrinkToFit="0" vertical="center" wrapText="0"/>
    </xf>
    <xf borderId="8" fillId="8" fontId="27" numFmtId="0" xfId="0" applyAlignment="1" applyBorder="1" applyFill="1" applyFont="1">
      <alignment horizontal="center" shrinkToFit="0" vertical="center" wrapText="0"/>
    </xf>
    <xf borderId="10" fillId="9" fontId="9" numFmtId="0" xfId="0" applyAlignment="1" applyBorder="1" applyFill="1" applyFont="1">
      <alignment shrinkToFit="0" vertical="center" wrapText="0"/>
    </xf>
    <xf borderId="11" fillId="0" fontId="10" numFmtId="0" xfId="0" applyBorder="1" applyFont="1"/>
    <xf borderId="10" fillId="10" fontId="9" numFmtId="0" xfId="0" applyAlignment="1" applyBorder="1" applyFill="1" applyFont="1">
      <alignment shrinkToFit="0" vertical="center" wrapText="0"/>
    </xf>
    <xf borderId="10" fillId="2" fontId="9" numFmtId="0" xfId="0" applyAlignment="1" applyBorder="1" applyFill="1" applyFont="1">
      <alignment shrinkToFit="0" vertical="center" wrapText="0"/>
    </xf>
    <xf borderId="12" fillId="0" fontId="28" numFmtId="0" xfId="0" applyAlignment="1" applyBorder="1" applyFont="1">
      <alignment shrinkToFit="0" vertical="center" wrapText="0"/>
    </xf>
    <xf borderId="12" fillId="0" fontId="2" numFmtId="0" xfId="0" applyAlignment="1" applyBorder="1" applyFont="1">
      <alignment shrinkToFit="0" vertical="bottom" wrapText="0"/>
    </xf>
    <xf borderId="2" fillId="4" fontId="4" numFmtId="0" xfId="0" applyAlignment="1" applyBorder="1" applyFill="1" applyFont="1">
      <alignment shrinkToFit="0" vertical="center" wrapText="0"/>
    </xf>
    <xf borderId="2" fillId="0" fontId="9" numFmtId="0" xfId="0" applyAlignment="1" applyBorder="1" applyFont="1">
      <alignment horizontal="center" shrinkToFit="0" vertical="center" wrapText="0"/>
    </xf>
    <xf borderId="2" fillId="5" fontId="4" numFmtId="0" xfId="0" applyAlignment="1" applyBorder="1" applyFill="1" applyFont="1">
      <alignment shrinkToFit="0" vertical="center" wrapText="0"/>
    </xf>
    <xf borderId="2" fillId="6" fontId="4" numFmtId="0" xfId="0" applyAlignment="1" applyBorder="1" applyFill="1" applyFont="1">
      <alignment shrinkToFit="0" vertical="center" wrapText="0"/>
    </xf>
    <xf borderId="2" fillId="11" fontId="4" numFmtId="0" xfId="0" applyAlignment="1" applyBorder="1" applyFill="1" applyFont="1">
      <alignment shrinkToFit="0" vertical="center" wrapText="0"/>
    </xf>
    <xf borderId="2" fillId="12" fontId="4" numFmtId="0" xfId="0" applyAlignment="1" applyBorder="1" applyFill="1" applyFont="1">
      <alignment shrinkToFit="0" vertical="center" wrapText="0"/>
    </xf>
    <xf borderId="2" fillId="7" fontId="29" numFmtId="167" xfId="0" applyAlignment="1" applyBorder="1" applyFill="1" applyFont="1" applyNumberFormat="1">
      <alignment horizontal="center" shrinkToFit="0" vertical="center" wrapText="0"/>
    </xf>
    <xf borderId="2" fillId="7" fontId="4" numFmtId="167" xfId="0" applyAlignment="1" applyBorder="1" applyFill="1" applyFont="1" applyNumberFormat="1">
      <alignment horizontal="center" shrinkToFit="0" vertical="center" wrapText="0"/>
    </xf>
    <xf borderId="2" fillId="0" fontId="30" numFmtId="0" xfId="0" applyAlignment="1" applyBorder="1" applyFont="1">
      <alignment shrinkToFit="0" vertical="center" wrapText="0"/>
    </xf>
    <xf borderId="2" fillId="0" fontId="30" numFmtId="0" xfId="0" applyAlignment="1" applyBorder="1" applyFont="1">
      <alignment horizontal="center" shrinkToFit="0" vertical="center" wrapText="0"/>
    </xf>
    <xf borderId="2" fillId="3" fontId="6" numFmtId="9" xfId="0" applyAlignment="1" applyBorder="1" applyFill="1" applyFont="1" applyNumberFormat="1">
      <alignment horizontal="center" shrinkToFit="0" vertical="center" wrapText="0"/>
    </xf>
    <xf borderId="2" fillId="0" fontId="27" numFmtId="0" xfId="0" applyAlignment="1" applyBorder="1" applyFont="1">
      <alignment shrinkToFit="0" vertical="center" wrapText="0"/>
    </xf>
    <xf borderId="2" fillId="0" fontId="27" numFmtId="0" xfId="0" applyAlignment="1" applyBorder="1" applyFont="1">
      <alignment horizontal="center" shrinkToFit="0" vertical="center" wrapText="0"/>
    </xf>
    <xf borderId="2" fillId="0" fontId="29" numFmtId="1" xfId="0" applyAlignment="1" applyBorder="1" applyFont="1" applyNumberFormat="1">
      <alignment horizontal="center" shrinkToFit="0" vertical="center" wrapText="0"/>
    </xf>
    <xf borderId="2" fillId="0" fontId="29" numFmtId="167" xfId="0" applyAlignment="1" applyBorder="1" applyFont="1" applyNumberFormat="1">
      <alignment horizontal="center" shrinkToFit="0" vertical="center" wrapText="0"/>
    </xf>
    <xf borderId="2" fillId="0" fontId="4" numFmtId="0" xfId="0" applyAlignment="1" applyBorder="1" applyFont="1">
      <alignment shrinkToFit="0" vertical="center" wrapText="0"/>
    </xf>
  </cellXfs>
  <cellStyles count="1">
    <cellStyle xfId="0" name="Normal" builtinId="0"/>
  </cellStyles>
  <dxfs count="21">
    <dxf>
      <font>
        <b/>
        <color rgb="FF9A3412"/>
        <name val="Arial"/>
      </font>
      <fill>
        <patternFill patternType="none"/>
      </fill>
      <border/>
    </dxf>
    <dxf>
      <font>
        <b/>
        <color rgb="FF0E7C7B"/>
        <name val="Arial"/>
      </font>
      <fill>
        <patternFill patternType="none"/>
      </fill>
      <border/>
    </dxf>
    <dxf>
      <font>
        <b/>
        <sz val="9.0"/>
        <color rgb="FF0F2B3A"/>
        <name val="Arial"/>
      </font>
      <fill>
        <patternFill patternType="solid">
          <fgColor rgb="FFD7EFEB"/>
          <bgColor rgb="FFD7EFEB"/>
        </patternFill>
      </fill>
      <border/>
    </dxf>
    <dxf>
      <font>
        <b/>
        <sz val="9.0"/>
        <color rgb="FF0F2B3A"/>
        <name val="Arial"/>
      </font>
      <fill>
        <patternFill patternType="solid">
          <fgColor rgb="FFFBE9C6"/>
          <bgColor rgb="FFFBE9C6"/>
        </patternFill>
      </fill>
      <border/>
    </dxf>
    <dxf>
      <font>
        <b/>
        <sz val="9.0"/>
        <color rgb="FF0F2B3A"/>
        <name val="Arial"/>
      </font>
      <fill>
        <patternFill patternType="solid">
          <fgColor rgb="FFDCE6F2"/>
          <bgColor rgb="FFDCE6F2"/>
        </patternFill>
      </fill>
      <border/>
    </dxf>
    <dxf>
      <font>
        <b/>
        <sz val="9.0"/>
        <color rgb="FF0F2B3A"/>
        <name val="Arial"/>
      </font>
      <fill>
        <patternFill patternType="solid">
          <fgColor rgb="FFE9E0F2"/>
          <bgColor rgb="FFE9E0F2"/>
        </patternFill>
      </fill>
      <border/>
    </dxf>
    <dxf>
      <font>
        <b/>
        <color rgb="FF0A5C5B"/>
        <name val="Arial"/>
      </font>
      <fill>
        <patternFill patternType="solid">
          <fgColor rgb="FFD7EFEB"/>
          <bgColor rgb="FFD7EFEB"/>
        </patternFill>
      </fill>
      <border/>
    </dxf>
    <dxf>
      <font>
        <b/>
        <color rgb="FF7A4A00"/>
        <name val="Arial"/>
      </font>
      <fill>
        <patternFill patternType="solid">
          <fgColor rgb="FFFBE9C6"/>
          <bgColor rgb="FFFBE9C6"/>
        </patternFill>
      </fill>
      <border/>
    </dxf>
    <dxf>
      <font>
        <b/>
        <color rgb="FF1F4E79"/>
        <name val="Arial"/>
      </font>
      <fill>
        <patternFill patternType="solid">
          <fgColor rgb="FFDCE6F2"/>
          <bgColor rgb="FFDCE6F2"/>
        </patternFill>
      </fill>
      <border/>
    </dxf>
    <dxf>
      <font>
        <b/>
        <color rgb="FF33444B"/>
        <name val="Arial"/>
      </font>
      <fill>
        <patternFill patternType="none"/>
      </fill>
      <border/>
    </dxf>
    <dxf>
      <font>
        <b/>
        <color rgb="FF9A3412"/>
        <name val="Arial"/>
      </font>
      <fill>
        <patternFill patternType="solid">
          <fgColor rgb="FFFBE9C6"/>
          <bgColor rgb="FFFBE9C6"/>
        </patternFill>
      </fill>
      <border/>
    </dxf>
    <dxf>
      <font/>
      <fill>
        <patternFill patternType="solid">
          <fgColor rgb="FFF7FAF9"/>
          <bgColor rgb="FFF7FAF9"/>
        </patternFill>
      </fill>
      <border/>
    </dxf>
    <dxf>
      <font>
        <b/>
        <sz val="28.0"/>
        <color rgb="FFC2410C"/>
        <name val="Arial"/>
      </font>
      <fill>
        <patternFill patternType="none"/>
      </fill>
      <border/>
    </dxf>
    <dxf>
      <font>
        <b/>
        <sz val="28.0"/>
        <color rgb="FF0E7C7B"/>
        <name val="Arial"/>
      </font>
      <fill>
        <patternFill patternType="none"/>
      </fill>
      <border/>
    </dxf>
    <dxf>
      <font>
        <b/>
        <sz val="9.0"/>
        <color rgb="FF0A5C5B"/>
        <name val="Arial"/>
      </font>
      <fill>
        <patternFill patternType="solid">
          <fgColor rgb="FFD7EFEB"/>
          <bgColor rgb="FFD7EFEB"/>
        </patternFill>
      </fill>
      <border/>
    </dxf>
    <dxf>
      <font>
        <b/>
        <sz val="9.0"/>
        <color rgb="FF7A4A00"/>
        <name val="Arial"/>
      </font>
      <fill>
        <patternFill patternType="solid">
          <fgColor rgb="FFFBE9C6"/>
          <bgColor rgb="FFFBE9C6"/>
        </patternFill>
      </fill>
      <border/>
    </dxf>
    <dxf>
      <font>
        <b/>
        <sz val="9.0"/>
        <color rgb="FF33444B"/>
        <name val="Arial"/>
      </font>
      <fill>
        <patternFill patternType="solid">
          <fgColor rgb="FFE8ECEB"/>
          <bgColor rgb="FFE8ECEB"/>
        </patternFill>
      </fill>
      <border/>
    </dxf>
    <dxf>
      <font>
        <b/>
        <sz val="9.0"/>
        <color rgb="FF1F4E79"/>
        <name val="Arial"/>
      </font>
      <fill>
        <patternFill patternType="solid">
          <fgColor rgb="FFDCE6F2"/>
          <bgColor rgb="FFDCE6F2"/>
        </patternFill>
      </fill>
      <border/>
    </dxf>
    <dxf>
      <font>
        <b/>
        <sz val="9.0"/>
        <color rgb="FF33444B"/>
        <name val="Arial"/>
      </font>
      <fill>
        <patternFill patternType="none"/>
      </fill>
      <border/>
    </dxf>
    <dxf>
      <font>
        <color rgb="FF0E7C7B"/>
        <name val="Arial"/>
      </font>
      <fill>
        <patternFill patternType="solid">
          <fgColor rgb="FF0E7C7B"/>
          <bgColor rgb="FF0E7C7B"/>
        </patternFill>
      </fill>
      <border/>
    </dxf>
    <dxf>
      <font>
        <color rgb="FF9FD6D1"/>
        <name val="Arial"/>
      </font>
      <fill>
        <patternFill patternType="solid">
          <fgColor rgb="FF9FD6D1"/>
          <bgColor rgb="FF9FD6D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F2B3A"/>
                </a:solidFill>
                <a:latin typeface="Arial"/>
              </a:defRPr>
            </a:pPr>
            <a:r>
              <a:rPr b="1" i="0" sz="1200">
                <a:solidFill>
                  <a:srgbClr val="0F2B3A"/>
                </a:solidFill>
                <a:latin typeface="Arial"/>
              </a:rPr>
              <a:t>Planned vs actual progress by week</a:t>
            </a:r>
          </a:p>
        </c:rich>
      </c:tx>
      <c:overlay val="0"/>
    </c:title>
    <c:plotArea>
      <c:layout/>
      <c:lineChart>
        <c:ser>
          <c:idx val="0"/>
          <c:order val="0"/>
          <c:tx>
            <c:v>Planned</c:v>
          </c:tx>
          <c:spPr>
            <a:ln cmpd="sng" w="19050">
              <a:solidFill>
                <a:srgbClr val="4F6068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Weekly!$A$5:$A$18</c:f>
            </c:strRef>
          </c:cat>
          <c:val>
            <c:numRef>
              <c:f>Weekly!$C$5:$C$18</c:f>
              <c:numCache/>
            </c:numRef>
          </c:val>
          <c:smooth val="0"/>
        </c:ser>
        <c:ser>
          <c:idx val="1"/>
          <c:order val="1"/>
          <c:tx>
            <c:v>Actual</c:v>
          </c:tx>
          <c:spPr>
            <a:ln cmpd="sng" w="38100">
              <a:solidFill>
                <a:srgbClr val="0E7C7B">
                  <a:alpha val="100000"/>
                </a:srgbClr>
              </a:solidFill>
            </a:ln>
          </c:spPr>
          <c:marker>
            <c:symbol val="circle"/>
            <c:size val="8"/>
            <c:spPr>
              <a:solidFill>
                <a:srgbClr val="0E7C7B">
                  <a:alpha val="100000"/>
                </a:srgbClr>
              </a:solidFill>
              <a:ln cmpd="sng">
                <a:solidFill>
                  <a:srgbClr val="0E7C7B">
                    <a:alpha val="100000"/>
                  </a:srgbClr>
                </a:solidFill>
              </a:ln>
            </c:spPr>
          </c:marker>
          <c:cat>
            <c:strRef>
              <c:f>Weekly!$A$5:$A$18</c:f>
            </c:strRef>
          </c:cat>
          <c:val>
            <c:numRef>
              <c:f>Weekly!$D$5:$D$18</c:f>
              <c:numCache/>
            </c:numRef>
          </c:val>
          <c:smooth val="0"/>
        </c:ser>
        <c:axId val="1660954684"/>
        <c:axId val="1005586655"/>
      </c:lineChart>
      <c:catAx>
        <c:axId val="16609546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</c:title>
        <c:numFmt formatCode="\W0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4F6068"/>
                </a:solidFill>
                <a:latin typeface="Arial"/>
              </a:defRPr>
            </a:pPr>
          </a:p>
        </c:txPr>
        <c:crossAx val="1005586655"/>
      </c:catAx>
      <c:valAx>
        <c:axId val="1005586655"/>
        <c:scaling>
          <c:orientation val="minMax"/>
          <c:max val="1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Cumulative progress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4F6068"/>
                </a:solidFill>
                <a:latin typeface="Arial"/>
              </a:defRPr>
            </a:pPr>
          </a:p>
        </c:txPr>
        <c:crossAx val="1660954684"/>
        <c:majorUnit val="0.2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F2B3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F2B3A"/>
                </a:solidFill>
                <a:latin typeface="Arial"/>
              </a:defRPr>
            </a:pPr>
            <a:r>
              <a:rPr b="1" i="0" sz="1200">
                <a:solidFill>
                  <a:srgbClr val="0F2B3A"/>
                </a:solidFill>
                <a:latin typeface="Arial"/>
              </a:rPr>
              <a:t>Progress by work stream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Actual</c:v>
          </c:tx>
          <c:spPr>
            <a:solidFill>
              <a:srgbClr val="0E7C7B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solidFill>
                      <a:srgbClr val="0F2B3A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Dashboard!$A$11:$A$14</c:f>
            </c:strRef>
          </c:cat>
          <c:val>
            <c:numRef>
              <c:f>Dashboard!$C$11:$C$14</c:f>
              <c:numCache/>
            </c:numRef>
          </c:val>
        </c:ser>
        <c:ser>
          <c:idx val="1"/>
          <c:order val="1"/>
          <c:tx>
            <c:v>Planned</c:v>
          </c:tx>
          <c:spPr>
            <a:solidFill>
              <a:srgbClr val="E8A33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solidFill>
                      <a:srgbClr val="0F2B3A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Dashboard!$A$11:$A$14</c:f>
            </c:strRef>
          </c:cat>
          <c:val>
            <c:numRef>
              <c:f>Dashboard!$D$11:$D$14</c:f>
              <c:numCache/>
            </c:numRef>
          </c:val>
        </c:ser>
        <c:axId val="532080453"/>
        <c:axId val="1475283921"/>
      </c:barChart>
      <c:catAx>
        <c:axId val="5320804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F6068"/>
                </a:solidFill>
                <a:latin typeface="Arial"/>
              </a:defRPr>
            </a:pPr>
          </a:p>
        </c:txPr>
        <c:crossAx val="1475283921"/>
      </c:catAx>
      <c:valAx>
        <c:axId val="1475283921"/>
        <c:scaling>
          <c:orientation val="minMax"/>
          <c:max val="1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4F6068"/>
                </a:solidFill>
                <a:latin typeface="Arial"/>
              </a:defRPr>
            </a:pPr>
          </a:p>
        </c:txPr>
        <c:crossAx val="532080453"/>
        <c:majorUnit val="0.2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F2B3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F2B3A"/>
                </a:solidFill>
                <a:latin typeface="Arial"/>
              </a:defRPr>
            </a:pPr>
            <a:r>
              <a:rPr b="1" i="0" sz="1200">
                <a:solidFill>
                  <a:srgbClr val="0F2B3A"/>
                </a:solidFill>
                <a:latin typeface="Arial"/>
              </a:rPr>
              <a:t>Progress by task (actual vs planned this week)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Actual</c:v>
          </c:tx>
          <c:spPr>
            <a:solidFill>
              <a:srgbClr val="0E7C7B"/>
            </a:solidFill>
            <a:ln cmpd="sng">
              <a:noFill/>
            </a:ln>
          </c:spPr>
          <c:invertIfNegative val="0"/>
          <c:cat>
            <c:strRef>
              <c:f>Tracker!$A$9:$A$31</c:f>
            </c:strRef>
          </c:cat>
          <c:val>
            <c:numRef>
              <c:f>Tracker!$J$9:$J$31</c:f>
              <c:numCache/>
            </c:numRef>
          </c:val>
        </c:ser>
        <c:ser>
          <c:idx val="1"/>
          <c:order val="1"/>
          <c:tx>
            <c:v>Planned</c:v>
          </c:tx>
          <c:spPr>
            <a:solidFill>
              <a:srgbClr val="E8A33D"/>
            </a:solidFill>
            <a:ln cmpd="sng">
              <a:noFill/>
            </a:ln>
          </c:spPr>
          <c:invertIfNegative val="0"/>
          <c:cat>
            <c:strRef>
              <c:f>Tracker!$A$9:$A$31</c:f>
            </c:strRef>
          </c:cat>
          <c:val>
            <c:numRef>
              <c:f>Tracker!$K$9:$K$31</c:f>
              <c:numCache/>
            </c:numRef>
          </c:val>
        </c:ser>
        <c:axId val="598438146"/>
        <c:axId val="17380327"/>
      </c:barChart>
      <c:catAx>
        <c:axId val="5984381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F6068"/>
                </a:solidFill>
                <a:latin typeface="Arial"/>
              </a:defRPr>
            </a:pPr>
          </a:p>
        </c:txPr>
        <c:crossAx val="17380327"/>
      </c:catAx>
      <c:valAx>
        <c:axId val="17380327"/>
        <c:scaling>
          <c:orientation val="minMax"/>
          <c:max val="1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4F6068"/>
                </a:solidFill>
                <a:latin typeface="Arial"/>
              </a:defRPr>
            </a:pPr>
          </a:p>
        </c:txPr>
        <c:crossAx val="598438146"/>
        <c:majorUnit val="0.2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F2B3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F2B3A"/>
                </a:solidFill>
                <a:latin typeface="Arial"/>
              </a:defRPr>
            </a:pPr>
            <a:r>
              <a:rPr b="1" i="0" sz="1200">
                <a:solidFill>
                  <a:srgbClr val="0F2B3A"/>
                </a:solidFill>
                <a:latin typeface="Arial"/>
              </a:rPr>
              <a:t>Task status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E7C7B"/>
              </a:solidFill>
            </c:spPr>
          </c:dPt>
          <c:dPt>
            <c:idx val="1"/>
            <c:spPr>
              <a:solidFill>
                <a:srgbClr val="E8A33D"/>
              </a:solidFill>
            </c:spPr>
          </c:dPt>
          <c:dPt>
            <c:idx val="2"/>
            <c:spPr>
              <a:solidFill>
                <a:srgbClr val="5B8DB8"/>
              </a:solidFill>
            </c:spPr>
          </c:dPt>
          <c:dPt>
            <c:idx val="3"/>
            <c:spPr>
              <a:solidFill>
                <a:srgbClr val="9AA9AE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1" i="0" sz="1000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1" i="0" sz="1000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Dashboard!$F$11:$F$14</c:f>
            </c:strRef>
          </c:cat>
          <c:val>
            <c:numRef>
              <c:f>Dashboard!$G$11:$G$14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F2B3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F2B3A"/>
                </a:solidFill>
                <a:latin typeface="Arial"/>
              </a:defRPr>
            </a:pPr>
            <a:r>
              <a:rPr b="1" i="0" sz="1200">
                <a:solidFill>
                  <a:srgbClr val="0F2B3A"/>
                </a:solidFill>
                <a:latin typeface="Arial"/>
              </a:rPr>
              <a:t>Stories by priority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E7C7B"/>
              </a:solidFill>
            </c:spPr>
          </c:dPt>
          <c:dPt>
            <c:idx val="1"/>
            <c:spPr>
              <a:solidFill>
                <a:srgbClr val="E8A33D"/>
              </a:solidFill>
            </c:spPr>
          </c:dPt>
          <c:dPt>
            <c:idx val="2"/>
            <c:spPr>
              <a:solidFill>
                <a:srgbClr val="9AA9AE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1" i="0" sz="1000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'Story Summary'!$A$6:$A$8</c:f>
            </c:strRef>
          </c:cat>
          <c:val>
            <c:numRef>
              <c:f>'Story Summary'!$B$6:$B$8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F2B3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F2B3A"/>
                </a:solidFill>
                <a:latin typeface="Arial"/>
              </a:defRPr>
            </a:pPr>
            <a:r>
              <a:rPr b="1" i="0" sz="1200">
                <a:solidFill>
                  <a:srgbClr val="0F2B3A"/>
                </a:solidFill>
                <a:latin typeface="Arial"/>
              </a:rPr>
              <a:t>User stories by module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v>Stories</c:v>
          </c:tx>
          <c:spPr>
            <a:solidFill>
              <a:srgbClr val="0E7C7B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solidFill>
                      <a:srgbClr val="0F2B3A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'Story Summary'!$A$15:$A$26</c:f>
            </c:strRef>
          </c:cat>
          <c:val>
            <c:numRef>
              <c:f>'Story Summary'!$B$15:$B$26</c:f>
              <c:numCache/>
            </c:numRef>
          </c:val>
        </c:ser>
        <c:axId val="27911891"/>
        <c:axId val="557269961"/>
      </c:barChart>
      <c:catAx>
        <c:axId val="2791189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F6068"/>
                </a:solidFill>
                <a:latin typeface="Arial"/>
              </a:defRPr>
            </a:pPr>
          </a:p>
        </c:txPr>
        <c:crossAx val="557269961"/>
      </c:catAx>
      <c:valAx>
        <c:axId val="557269961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F6068"/>
                </a:solidFill>
                <a:latin typeface="Arial"/>
              </a:defRPr>
            </a:pPr>
          </a:p>
        </c:txPr>
        <c:crossAx val="27911891"/>
        <c:crosses val="max"/>
      </c:valAx>
    </c:plotArea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F2B3A"/>
                </a:solidFill>
                <a:latin typeface="Arial"/>
              </a:defRPr>
            </a:pPr>
            <a:r>
              <a:rPr b="1" i="0" sz="1200">
                <a:solidFill>
                  <a:srgbClr val="0F2B3A"/>
                </a:solidFill>
                <a:latin typeface="Arial"/>
              </a:rPr>
              <a:t>Average story progress by module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v>Progress</c:v>
          </c:tx>
          <c:spPr>
            <a:solidFill>
              <a:srgbClr val="E8A33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solidFill>
                      <a:srgbClr val="0F2B3A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'Story Summary'!$A$15:$A$26</c:f>
            </c:strRef>
          </c:cat>
          <c:val>
            <c:numRef>
              <c:f>'Story Summary'!$C$15:$C$26</c:f>
              <c:numCache/>
            </c:numRef>
          </c:val>
        </c:ser>
        <c:axId val="793880174"/>
        <c:axId val="2101928439"/>
      </c:barChart>
      <c:catAx>
        <c:axId val="79388017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F6068"/>
                </a:solidFill>
                <a:latin typeface="Arial"/>
              </a:defRPr>
            </a:pPr>
          </a:p>
        </c:txPr>
        <c:crossAx val="2101928439"/>
      </c:catAx>
      <c:valAx>
        <c:axId val="2101928439"/>
        <c:scaling>
          <c:orientation val="minMax"/>
          <c:max val="1.0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F6068"/>
                </a:solidFill>
                <a:latin typeface="Arial"/>
              </a:defRPr>
            </a:pPr>
          </a:p>
        </c:txPr>
        <c:crossAx val="793880174"/>
        <c:crosses val="max"/>
        <c:majorUnit val="0.25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0</xdr:rowOff>
    </xdr:from>
    <xdr:ext cx="5133975" cy="35814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17</xdr:row>
      <xdr:rowOff>0</xdr:rowOff>
    </xdr:from>
    <xdr:ext cx="5133975" cy="35814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36</xdr:row>
      <xdr:rowOff>0</xdr:rowOff>
    </xdr:from>
    <xdr:ext cx="6400800" cy="37814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0</xdr:colOff>
      <xdr:row>36</xdr:row>
      <xdr:rowOff>0</xdr:rowOff>
    </xdr:from>
    <xdr:ext cx="3867150" cy="37814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3</xdr:row>
      <xdr:rowOff>0</xdr:rowOff>
    </xdr:from>
    <xdr:ext cx="3705225" cy="379095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3</xdr:row>
      <xdr:rowOff>0</xdr:rowOff>
    </xdr:from>
    <xdr:ext cx="5905500" cy="379095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0</xdr:colOff>
      <xdr:row>23</xdr:row>
      <xdr:rowOff>0</xdr:rowOff>
    </xdr:from>
    <xdr:ext cx="9572625" cy="398145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7C7B"/>
    <pageSetUpPr fitToPage="1"/>
  </sheetPr>
  <sheetViews>
    <sheetView showGridLines="0" workbookViewId="0"/>
  </sheetViews>
  <sheetFormatPr customHeight="1" defaultColWidth="14.43" defaultRowHeight="15.0"/>
  <cols>
    <col customWidth="1" min="1" max="1" width="25.0"/>
    <col customWidth="1" min="2" max="2" width="13.0"/>
    <col customWidth="1" min="3" max="8" width="19.0"/>
    <col customWidth="1" min="9" max="26" width="8.71"/>
  </cols>
  <sheetData>
    <row r="1" ht="45.75" customHeight="1">
      <c r="A1" s="42" t="inlineStr">
        <is>
          <t xml:space="preserve">Online Payroll System (OPS) – Development Tracker (target finish Nov 30, 2026)</t>
        </is>
      </c>
      <c r="B1" s="2"/>
      <c r="C1" s="2"/>
      <c r="D1" s="2"/>
      <c r="E1" s="2"/>
      <c r="F1" s="2"/>
      <c r="G1" s="2"/>
      <c r="H1" s="2"/>
    </row>
    <row r="2" ht="25.5" customHeight="1">
      <c r="A2" s="54" t="str">
        <f>"Project Owner: "&amp;Tracker!C3&amp;"   |   "&amp;TEXT(Tracker!C4,"mmm d, yyyy")&amp;" to "&amp;TEXT(Tracker!C4+11*7-1,"mmm d, yyyy")&amp;"   |   11 weeks, "&amp;COUNTA(Tracker!A9:A31)&amp;" tasks"</f>
        <v>Project Owner: Thea Consignado   |   Sep 15, 2026 to Nov 30, 2026   |   11 weeks, 23 tasks</v>
      </c>
      <c r="B2" s="2"/>
      <c r="C2" s="2"/>
      <c r="D2" s="2"/>
      <c r="E2" s="2"/>
      <c r="F2" s="2"/>
      <c r="G2" s="2"/>
      <c r="H2" s="2"/>
    </row>
    <row r="3" ht="9.75" customHeight="1"/>
    <row r="4" ht="24.0" customHeight="1">
      <c r="A4" s="58" t="s">
        <v>104</v>
      </c>
      <c r="B4" s="59"/>
      <c r="C4" s="58" t="s">
        <v>105</v>
      </c>
      <c r="D4" s="59"/>
      <c r="E4" s="58" t="s">
        <v>106</v>
      </c>
      <c r="F4" s="59"/>
      <c r="G4" s="58" t="s">
        <v>107</v>
      </c>
      <c r="H4" s="59"/>
    </row>
    <row r="5" ht="48.0" customHeight="1">
      <c r="A5" s="61">
        <f>Tracker!J32</f>
        <v>0.455497382198953</v>
      </c>
      <c r="B5" s="62"/>
      <c r="C5" s="63">
        <f>Tracker!K32</f>
        <v>0.298429319371728</v>
      </c>
      <c r="D5" s="62"/>
      <c r="E5" s="64">
        <f>Tracker!L32</f>
        <v>15.7068062827225</v>
      </c>
      <c r="F5" s="62"/>
      <c r="G5" s="65" t="str">
        <f>COUNTIF(Tracker!I9:I31,"Done")&amp;" / "&amp;COUNTA(Tracker!A9:A31)</f>
        <v>1 / 23</v>
      </c>
      <c r="H5" s="62"/>
    </row>
    <row r="6" ht="24.0" customHeight="1">
      <c r="A6" s="66" t="str">
        <f>"Weighted by effort days"</f>
        <v>Weighted by effort days</v>
      </c>
      <c r="B6" s="62"/>
      <c r="C6" s="66" t="str">
        <f>IF(Tracker!C6=0,"Project has not started","Week "&amp;Tracker!C6&amp;" of 11")</f>
        <v>Week 3 of 11</v>
      </c>
      <c r="D6" s="62"/>
      <c r="E6" s="66" t="str">
        <f>IF(ABS(Tracker!L32)&lt;=2,"On plan",IF(Tracker!L32&gt;0,"Ahead of plan","Behind plan"))</f>
        <v>Ahead of plan</v>
      </c>
      <c r="F6" s="62"/>
      <c r="G6" s="66" t="str">
        <f>IF(Tracker!C6=0,"11 weeks to go",IF(11-Tracker!C6=0,"Final week",11-Tracker!C6&amp;" weeks left"))</f>
        <v>8 weeks left</v>
      </c>
      <c r="H6" s="62"/>
    </row>
    <row r="7" ht="6.0" customHeight="1">
      <c r="A7" s="67"/>
      <c r="B7" s="68"/>
      <c r="C7" s="69"/>
      <c r="D7" s="68"/>
      <c r="E7" s="70"/>
      <c r="F7" s="68"/>
      <c r="G7" s="67"/>
      <c r="H7" s="68"/>
    </row>
    <row r="8" ht="13.5" customHeight="1"/>
    <row r="9" ht="24.0" customHeight="1">
      <c r="A9" s="71" t="s">
        <v>125</v>
      </c>
      <c r="B9" s="72"/>
      <c r="C9" s="72"/>
      <c r="D9" s="72"/>
      <c r="F9" s="71" t="s">
        <v>128</v>
      </c>
      <c r="G9" s="72"/>
    </row>
    <row r="10">
      <c r="A10" s="5" t="s">
        <v>26</v>
      </c>
      <c r="B10" s="5" t="s">
        <v>29</v>
      </c>
      <c r="C10" s="5" t="s">
        <v>129</v>
      </c>
      <c r="D10" s="5" t="s">
        <v>8</v>
      </c>
      <c r="F10" s="19" t="s">
        <v>32</v>
      </c>
      <c r="G10" s="19" t="s">
        <v>130</v>
      </c>
    </row>
    <row r="11" ht="21.75" customHeight="1">
      <c r="A11" s="73" t="inlineStr">
        <is>
          <t xml:space="preserve">Foundation</t>
        </is>
      </c>
      <c r="B11" s="74">
        <f>SUMIFS(Tracker!$F$9:$F$31,Tracker!$B$9:$B$31,A11)</f>
        <v>37</v>
      </c>
      <c r="C11" s="18">
        <f>SUMPRODUCT((Tracker!$B$9:$B$31=A11)*Tracker!$F$9:$F$31*Tracker!$J$9:$J$31)/B11</f>
        <v>0.567567567567568</v>
      </c>
      <c r="D11" s="18">
        <f>SUMPRODUCT((Tracker!$B$9:$B$31=A11)*Tracker!$F$9:$F$31*Tracker!$K$9:$K$31)/B11</f>
        <v>1</v>
      </c>
      <c r="F11" s="73" t="s">
        <v>134</v>
      </c>
      <c r="G11" s="74">
        <f>COUNTIF(Tracker!$I$9:$I$31,F11)</f>
        <v>1</v>
      </c>
    </row>
    <row r="12" ht="21.75" customHeight="1">
      <c r="A12" s="75" t="inlineStr">
        <is>
          <t xml:space="preserve">Workforce and time</t>
        </is>
      </c>
      <c r="B12" s="74">
        <f>SUMIFS(Tracker!$F$9:$F$31,Tracker!$B$9:$B$31,A12)</f>
        <v>50</v>
      </c>
      <c r="C12" s="18">
        <f>SUMPRODUCT((Tracker!$B$9:$B$31=A12)*Tracker!$F$9:$F$31*Tracker!$J$9:$J$31)/B12</f>
        <v>0.5</v>
      </c>
      <c r="D12" s="18">
        <f>SUMPRODUCT((Tracker!$B$9:$B$31=A12)*Tracker!$F$9:$F$31*Tracker!$K$9:$K$31)/B12</f>
        <v>0.4</v>
      </c>
      <c r="F12" s="75" t="s">
        <v>140</v>
      </c>
      <c r="G12" s="74">
        <f>COUNTIF(Tracker!$I$9:$I$31,F12)</f>
        <v>20</v>
      </c>
    </row>
    <row r="13" ht="21.75" customHeight="1">
      <c r="A13" s="76" t="inlineStr">
        <is>
          <t xml:space="preserve">Payroll and compliance</t>
        </is>
      </c>
      <c r="B13" s="74">
        <f>SUMIFS(Tracker!$F$9:$F$31,Tracker!$B$9:$B$31,A13)</f>
        <v>56</v>
      </c>
      <c r="C13" s="18">
        <f>SUMPRODUCT((Tracker!$B$9:$B$31=A13)*Tracker!$F$9:$F$31*Tracker!$J$9:$J$31)/B13</f>
        <v>0.5</v>
      </c>
      <c r="D13" s="18">
        <f>SUMPRODUCT((Tracker!$B$9:$B$31=A13)*Tracker!$F$9:$F$31*Tracker!$K$9:$K$31)/B13</f>
        <v>0</v>
      </c>
      <c r="F13" s="76" t="s">
        <v>147</v>
      </c>
      <c r="G13" s="74">
        <f>COUNTIF(Tracker!$I$9:$I$31,F13)</f>
        <v>0</v>
      </c>
    </row>
    <row r="14" ht="21.75" customHeight="1">
      <c r="A14" s="77" t="inlineStr">
        <is>
          <t xml:space="preserve">Portals, platform and launch</t>
        </is>
      </c>
      <c r="B14" s="74">
        <f>SUMIFS(Tracker!$F$9:$F$31,Tracker!$B$9:$B$31,A14)</f>
        <v>48</v>
      </c>
      <c r="C14" s="18">
        <f>SUMPRODUCT((Tracker!$B$9:$B$31=A14)*Tracker!$F$9:$F$31*Tracker!$J$9:$J$31)/B14</f>
        <v>0.270833333333333</v>
      </c>
      <c r="D14" s="18">
        <f>SUMPRODUCT((Tracker!$B$9:$B$31=A14)*Tracker!$F$9:$F$31*Tracker!$K$9:$K$31)/B14</f>
        <v>0</v>
      </c>
      <c r="F14" s="78" t="s">
        <v>40</v>
      </c>
      <c r="G14" s="74">
        <f>COUNTIF(Tracker!$I$9:$I$31,F14)</f>
        <v>2</v>
      </c>
    </row>
    <row r="15" ht="24.0" customHeight="1">
      <c r="A15" s="40" t="s">
        <v>153</v>
      </c>
      <c r="B15" s="44">
        <f>SUM(B11:B14)</f>
        <v>191</v>
      </c>
      <c r="C15" s="79">
        <f>Tracker!J32</f>
        <v>0.455497382198953</v>
      </c>
      <c r="D15" s="80">
        <f>Tracker!K32</f>
        <v>0.298429319371728</v>
      </c>
      <c r="F15" s="81" t="s">
        <v>157</v>
      </c>
      <c r="G15" s="82">
        <f>COUNTIF(Tracker!$M$9:$M$31,"Behind plan")</f>
        <v>6</v>
      </c>
    </row>
    <row r="16" ht="24.0" customHeight="1">
      <c r="F16" s="40" t="s">
        <v>161</v>
      </c>
      <c r="G16" s="44">
        <f>SUM(G11:G14)</f>
        <v>23</v>
      </c>
    </row>
    <row r="17" ht="12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>
      <c r="A58" s="55" t="s">
        <v>162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4:B4"/>
    <mergeCell ref="C4:D4"/>
    <mergeCell ref="E4:F4"/>
    <mergeCell ref="G4:H4"/>
    <mergeCell ref="C5:D5"/>
    <mergeCell ref="E5:F5"/>
    <mergeCell ref="G5:H5"/>
    <mergeCell ref="E7:F7"/>
    <mergeCell ref="G7:H7"/>
    <mergeCell ref="A5:B5"/>
    <mergeCell ref="A6:B6"/>
    <mergeCell ref="C6:D6"/>
    <mergeCell ref="E6:F6"/>
    <mergeCell ref="G6:H6"/>
    <mergeCell ref="A7:B7"/>
    <mergeCell ref="C7:D7"/>
  </mergeCells>
  <conditionalFormatting sqref="E5">
    <cfRule type="cellIs" dxfId="12" priority="1" operator="lessThanOrEqual">
      <formula>-2</formula>
    </cfRule>
  </conditionalFormatting>
  <conditionalFormatting sqref="E5">
    <cfRule type="cellIs" dxfId="13" priority="2" operator="greaterThanOrEqual">
      <formula>2</formula>
    </cfRule>
  </conditionalFormatting>
  <printOptions/>
  <pageMargins bottom="1.0" footer="0.0" header="0.0" left="0.75" right="0.75" top="1.0"/>
  <pageSetup orientation="landscape"/>
  <headerFooter>
    <oddFooter>&amp;L Project Owner: Louren Isobel Rubico&amp;R Page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A33D"/>
    <pageSetUpPr fitToPage="1"/>
  </sheetPr>
  <sheetViews>
    <sheetView showGridLines="0"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4.43" defaultRowHeight="15.0"/>
  <cols>
    <col customWidth="1" min="1" max="1" width="7.0"/>
    <col customWidth="1" min="2" max="2" width="22.0"/>
    <col customWidth="1" min="3" max="3" width="46.0"/>
    <col customWidth="1" min="4" max="5" width="9.0"/>
    <col customWidth="1" min="6" max="6" width="10.0"/>
    <col customWidth="1" min="7" max="8" width="11.0"/>
    <col customWidth="1" min="9" max="9" width="12.0"/>
    <col customWidth="1" min="10" max="13" width="13.0"/>
    <col customWidth="1" min="14" max="14" width="30.0"/>
    <col customWidth="1" min="15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1.75" customHeight="1">
      <c r="A2" s="3" t="str">
        <f>"Project Owner: "&amp;C3&amp;"   |   Tasks, schedule, and progress for the 11-week build, target finish Nov 30, 2026"</f>
        <v>Project Owner: Thea Consignado   |   Tasks, schedule, and progress for the 11-week build, target finish Nov 30, 2026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4" t="s">
        <v>3</v>
      </c>
      <c r="C3" s="6" t="inlineStr">
        <is>
          <t xml:space="preserve">Thea Consignado</t>
        </is>
      </c>
      <c r="E3" s="7" t="s">
        <v>12</v>
      </c>
    </row>
    <row r="4">
      <c r="A4" s="4" t="s">
        <v>13</v>
      </c>
      <c r="C4" s="10">
        <v>46280</v>
      </c>
      <c r="E4" s="13" t="inlineStr">
        <is>
          <t xml:space="preserve">1. Set the project owner and start date (C3, C4). Week 1 starts 15 Sep 2026; week 11 ends 30 Nov 2026 (target finish).</t>
        </is>
      </c>
    </row>
    <row r="5">
      <c r="A5" s="4" t="s">
        <v>16</v>
      </c>
      <c r="C5" s="15">
        <f>TODAY()</f>
        <v>46300</v>
      </c>
      <c r="E5" s="13" t="s">
        <v>18</v>
      </c>
    </row>
    <row r="6">
      <c r="A6" s="4" t="s">
        <v>19</v>
      </c>
      <c r="C6" s="23">
        <f>MAX(0,MIN(11,INT((C5-C4)/7)+1))</f>
        <v>3</v>
      </c>
      <c r="E6" s="13" t="s">
        <v>24</v>
      </c>
    </row>
    <row r="7">
      <c r="E7" s="13" t="s">
        <v>25</v>
      </c>
    </row>
    <row r="8" ht="33.75" customHeight="1">
      <c r="A8" s="5" t="s">
        <v>21</v>
      </c>
      <c r="B8" s="5" t="s">
        <v>26</v>
      </c>
      <c r="C8" s="5" t="s">
        <v>22</v>
      </c>
      <c r="D8" s="5" t="s">
        <v>27</v>
      </c>
      <c r="E8" s="5" t="s">
        <v>28</v>
      </c>
      <c r="F8" s="5" t="s">
        <v>29</v>
      </c>
      <c r="G8" s="5" t="s">
        <v>30</v>
      </c>
      <c r="H8" s="5" t="s">
        <v>31</v>
      </c>
      <c r="I8" s="5" t="s">
        <v>32</v>
      </c>
      <c r="J8" s="5" t="s">
        <v>33</v>
      </c>
      <c r="K8" s="5" t="s">
        <v>34</v>
      </c>
      <c r="L8" s="5" t="s">
        <v>10</v>
      </c>
      <c r="M8" s="5" t="s">
        <v>35</v>
      </c>
      <c r="N8" s="5" t="s">
        <v>36</v>
      </c>
    </row>
    <row r="9" ht="24.0" customHeight="1">
      <c r="A9" s="28" t="inlineStr">
        <is>
          <t xml:space="preserve">T01</t>
        </is>
      </c>
      <c r="B9" s="30" t="inlineStr">
        <is>
          <t xml:space="preserve">Foundation</t>
        </is>
      </c>
      <c r="C9" s="31" t="inlineStr">
        <is>
          <t xml:space="preserve">Project setup, architecture, UI/UX foundation</t>
        </is>
      </c>
      <c r="D9" s="32">
        <v>1.0</v>
      </c>
      <c r="E9" s="32">
        <v>1.0</v>
      </c>
      <c r="F9" s="32">
        <v>5.0</v>
      </c>
      <c r="G9" s="11">
        <f t="shared" ref="G9:G31" si="1">$C$4+(D9-1)*7</f>
        <v>46280</v>
      </c>
      <c r="H9" s="11">
        <f t="shared" ref="H9:H31" si="2">$C$4+E9*7-1</f>
        <v>46286</v>
      </c>
      <c r="I9" s="33" t="inlineStr">
        <is>
          <t xml:space="preserve">Done</t>
        </is>
      </c>
      <c r="J9" s="34">
        <f>IFERROR(VLOOKUP(I9,Lists!$A$5:$B$8,2,FALSE()),0)</f>
        <v>1</v>
      </c>
      <c r="K9" s="35">
        <f t="shared" ref="K9:K31" si="3">MAX(0,MIN(1,($C$6-D9+1)/(E9-D9+1)))</f>
        <v>1</v>
      </c>
      <c r="L9" s="36">
        <f t="shared" ref="L9:L32" si="4">(J9-K9)*100</f>
        <v>0</v>
      </c>
      <c r="M9" s="38" t="str">
        <f t="shared" ref="M9:M31" si="5">IF(AND($C$6&gt;0,J9&lt;1,K9-J9&gt;=0.25),"Behind plan","")</f>
        <v/>
      </c>
      <c r="N9" s="31" t="inlineStr">
        <is>
          <t xml:space="preserve">Laravel 12 + Inertia/React + Fortify + Spatie. Ops layout (AppShell, sidebar, topbar) and shared UI kit are in place.</t>
        </is>
      </c>
    </row>
    <row r="10" ht="24.0" customHeight="1">
      <c r="A10" s="28" t="inlineStr">
        <is>
          <t xml:space="preserve">T02</t>
        </is>
      </c>
      <c r="B10" s="30" t="inlineStr">
        <is>
          <t xml:space="preserve">Foundation</t>
        </is>
      </c>
      <c r="C10" s="31" t="inlineStr">
        <is>
          <t xml:space="preserve">Database design and multi-tenant setup</t>
        </is>
      </c>
      <c r="D10" s="32">
        <v>1.0</v>
      </c>
      <c r="E10" s="32">
        <v>3.0</v>
      </c>
      <c r="F10" s="32">
        <v>8.0</v>
      </c>
      <c r="G10" s="11">
        <f t="shared" si="1"/>
        <v>46280</v>
      </c>
      <c r="H10" s="11">
        <f t="shared" si="2"/>
        <v>46300</v>
      </c>
      <c r="I10" s="39" t="inlineStr">
        <is>
          <t xml:space="preserve">In progress</t>
        </is>
      </c>
      <c r="J10" s="34">
        <f>IFERROR(VLOOKUP(I10,Lists!$A$5:$B$8,2,FALSE()),0)</f>
        <v>0.5</v>
      </c>
      <c r="K10" s="35">
        <f t="shared" si="3"/>
        <v>1</v>
      </c>
      <c r="L10" s="36">
        <f t="shared" si="4"/>
        <v>-50</v>
      </c>
      <c r="M10" s="38" t="str">
        <f t="shared" si="5"/>
        <v>Behind plan</v>
      </c>
      <c r="N10" s="31" t="inlineStr">
        <is>
          <t xml:space="preserve">Migrations done: companies, branches, employees, activity_logs, users tenancy, permission tables, BelongsToCompany. Tables for attendance, leave, payroll, loans etc. not yet created.</t>
        </is>
      </c>
    </row>
    <row r="11" ht="24.0" customHeight="1">
      <c r="A11" s="28" t="inlineStr">
        <is>
          <t xml:space="preserve">T03</t>
        </is>
      </c>
      <c r="B11" s="30" t="inlineStr">
        <is>
          <t xml:space="preserve">Foundation</t>
        </is>
      </c>
      <c r="C11" s="31" t="inlineStr">
        <is>
          <t xml:space="preserve">Login, password reset, roles and permissions</t>
        </is>
      </c>
      <c r="D11" s="32">
        <v>1.0</v>
      </c>
      <c r="E11" s="32">
        <v>3.0</v>
      </c>
      <c r="F11" s="32">
        <v>8.0</v>
      </c>
      <c r="G11" s="11">
        <f t="shared" si="1"/>
        <v>46280</v>
      </c>
      <c r="H11" s="11">
        <f t="shared" si="2"/>
        <v>46300</v>
      </c>
      <c r="I11" s="39" t="inlineStr">
        <is>
          <t xml:space="preserve">In progress</t>
        </is>
      </c>
      <c r="J11" s="34">
        <f>IFERROR(VLOOKUP(I11,Lists!$A$5:$B$8,2,FALSE()),0)</f>
        <v>0.5</v>
      </c>
      <c r="K11" s="35">
        <f t="shared" si="3"/>
        <v>1</v>
      </c>
      <c r="L11" s="36">
        <f t="shared" si="4"/>
        <v>-50</v>
      </c>
      <c r="M11" s="38" t="str">
        <f t="shared" si="5"/>
        <v>Behind plan</v>
      </c>
      <c r="N11" s="31" t="inlineStr">
        <is>
          <t xml:space="preserve">Backend live: Fortify login/forgot/reset, active-user middleware, 6 roles with Spatie permissions. Login/forgot/reset pages built. Role editing UI still on mock data.</t>
        </is>
      </c>
    </row>
    <row r="12" ht="24.0" customHeight="1">
      <c r="A12" s="28" t="inlineStr">
        <is>
          <t xml:space="preserve">T04</t>
        </is>
      </c>
      <c r="B12" s="30" t="inlineStr">
        <is>
          <t xml:space="preserve">Foundation</t>
        </is>
      </c>
      <c r="C12" s="31" t="inlineStr">
        <is>
          <t xml:space="preserve">User accounts, access and activity logs</t>
        </is>
      </c>
      <c r="D12" s="32">
        <v>2.0</v>
      </c>
      <c r="E12" s="32">
        <v>3.0</v>
      </c>
      <c r="F12" s="32">
        <v>5.0</v>
      </c>
      <c r="G12" s="11">
        <f t="shared" si="1"/>
        <v>46287</v>
      </c>
      <c r="H12" s="11">
        <f t="shared" si="2"/>
        <v>46300</v>
      </c>
      <c r="I12" s="39" t="inlineStr">
        <is>
          <t xml:space="preserve">In progress</t>
        </is>
      </c>
      <c r="J12" s="34">
        <f>IFERROR(VLOOKUP(I12,Lists!$A$5:$B$8,2,FALSE()),0)</f>
        <v>0.5</v>
      </c>
      <c r="K12" s="35">
        <f t="shared" si="3"/>
        <v>1</v>
      </c>
      <c r="L12" s="36">
        <f t="shared" si="4"/>
        <v>-50</v>
      </c>
      <c r="M12" s="38" t="str">
        <f t="shared" si="5"/>
        <v>Behind plan</v>
      </c>
      <c r="N12" s="31" t="inlineStr">
        <is>
          <t xml:space="preserve">User Access page built (FE, mock). ActivityLogger + model exist for employee create/update only. No user CRUD backend yet.</t>
        </is>
      </c>
    </row>
    <row r="13" ht="24.0" customHeight="1">
      <c r="A13" s="28" t="inlineStr">
        <is>
          <t xml:space="preserve">T05</t>
        </is>
      </c>
      <c r="B13" s="30" t="inlineStr">
        <is>
          <t xml:space="preserve">Foundation</t>
        </is>
      </c>
      <c r="C13" s="31" t="inlineStr">
        <is>
          <t xml:space="preserve">Company information, payroll settings, holidays</t>
        </is>
      </c>
      <c r="D13" s="32">
        <v>2.0</v>
      </c>
      <c r="E13" s="32">
        <v>3.0</v>
      </c>
      <c r="F13" s="32">
        <v>6.0</v>
      </c>
      <c r="G13" s="11">
        <f t="shared" si="1"/>
        <v>46287</v>
      </c>
      <c r="H13" s="11">
        <f t="shared" si="2"/>
        <v>46300</v>
      </c>
      <c r="I13" s="39" t="inlineStr">
        <is>
          <t xml:space="preserve">In progress</t>
        </is>
      </c>
      <c r="J13" s="34">
        <f>IFERROR(VLOOKUP(I13,Lists!$A$5:$B$8,2,FALSE()),0)</f>
        <v>0.5</v>
      </c>
      <c r="K13" s="35">
        <f t="shared" si="3"/>
        <v>1</v>
      </c>
      <c r="L13" s="36">
        <f t="shared" si="4"/>
        <v>-50</v>
      </c>
      <c r="M13" s="38" t="str">
        <f t="shared" si="5"/>
        <v>Behind plan</v>
      </c>
      <c r="N13" s="31" t="inlineStr">
        <is>
          <t xml:space="preserve">Company Settings page built (FE, mock/local stores). Backend controller and persistence pending.</t>
        </is>
      </c>
    </row>
    <row r="14" ht="24.0" customHeight="1">
      <c r="A14" s="28" t="inlineStr">
        <is>
          <t xml:space="preserve">T06</t>
        </is>
      </c>
      <c r="B14" s="30" t="inlineStr">
        <is>
          <t xml:space="preserve">Foundation</t>
        </is>
      </c>
      <c r="C14" s="31" t="inlineStr">
        <is>
          <t xml:space="preserve">Branches and onboarding</t>
        </is>
      </c>
      <c r="D14" s="32">
        <v>3.0</v>
      </c>
      <c r="E14" s="32">
        <v>3.0</v>
      </c>
      <c r="F14" s="32">
        <v>5.0</v>
      </c>
      <c r="G14" s="11">
        <f t="shared" si="1"/>
        <v>46294</v>
      </c>
      <c r="H14" s="11">
        <f t="shared" si="2"/>
        <v>46300</v>
      </c>
      <c r="I14" s="39" t="inlineStr">
        <is>
          <t xml:space="preserve">In progress</t>
        </is>
      </c>
      <c r="J14" s="34">
        <f>IFERROR(VLOOKUP(I14,Lists!$A$5:$B$8,2,FALSE()),0)</f>
        <v>0.5</v>
      </c>
      <c r="K14" s="35">
        <f t="shared" si="3"/>
        <v>1</v>
      </c>
      <c r="L14" s="36">
        <f t="shared" si="4"/>
        <v>-50</v>
      </c>
      <c r="M14" s="38" t="str">
        <f t="shared" si="5"/>
        <v>Behind plan</v>
      </c>
      <c r="N14" s="31" t="inlineStr">
        <is>
          <t xml:space="preserve">Branches and Onboarding pages built (FE, mock). Branch model exists; no controller or API.</t>
        </is>
      </c>
    </row>
    <row r="15" ht="24.0" customHeight="1">
      <c r="A15" s="28" t="inlineStr">
        <is>
          <t xml:space="preserve">T07</t>
        </is>
      </c>
      <c r="B15" s="30" t="inlineStr">
        <is>
          <t xml:space="preserve">Workforce and time</t>
        </is>
      </c>
      <c r="C15" s="31" t="inlineStr">
        <is>
          <t xml:space="preserve">Employee management (list, profile, import)</t>
        </is>
      </c>
      <c r="D15" s="32">
        <v>2.0</v>
      </c>
      <c r="E15" s="32">
        <v>3.0</v>
      </c>
      <c r="F15" s="32">
        <v>10.0</v>
      </c>
      <c r="G15" s="11">
        <f t="shared" si="1"/>
        <v>46287</v>
      </c>
      <c r="H15" s="11">
        <f t="shared" si="2"/>
        <v>46300</v>
      </c>
      <c r="I15" s="39" t="inlineStr">
        <is>
          <t xml:space="preserve">In progress</t>
        </is>
      </c>
      <c r="J15" s="34">
        <f>IFERROR(VLOOKUP(I15,Lists!$A$5:$B$8,2,FALSE()),0)</f>
        <v>0.5</v>
      </c>
      <c r="K15" s="35">
        <f t="shared" si="3"/>
        <v>1</v>
      </c>
      <c r="L15" s="36">
        <f t="shared" si="4"/>
        <v>-50</v>
      </c>
      <c r="M15" s="38" t="str">
        <f t="shared" si="5"/>
        <v>Behind plan</v>
      </c>
      <c r="N15" s="31" t="inlineStr">
        <is>
          <t xml:space="preserve">FE list + profile (incl. compensation, import) built. Backend: store/update endpoints + validation + activity log done. List/show still read mock data.</t>
        </is>
      </c>
    </row>
    <row r="16" ht="24.0" customHeight="1">
      <c r="A16" s="28" t="inlineStr">
        <is>
          <t xml:space="preserve">T08</t>
        </is>
      </c>
      <c r="B16" s="30" t="inlineStr">
        <is>
          <t xml:space="preserve">Workforce and time</t>
        </is>
      </c>
      <c r="C16" s="31" t="inlineStr">
        <is>
          <t xml:space="preserve">Attendance, adjustments and biometrics</t>
        </is>
      </c>
      <c r="D16" s="32">
        <v>3.0</v>
      </c>
      <c r="E16" s="32">
        <v>4.0</v>
      </c>
      <c r="F16" s="32">
        <v>12.0</v>
      </c>
      <c r="G16" s="11">
        <f t="shared" si="1"/>
        <v>46294</v>
      </c>
      <c r="H16" s="11">
        <f t="shared" si="2"/>
        <v>46307</v>
      </c>
      <c r="I16" s="39" t="inlineStr">
        <is>
          <t xml:space="preserve">In progress</t>
        </is>
      </c>
      <c r="J16" s="34">
        <f>IFERROR(VLOOKUP(I16,Lists!$A$5:$B$8,2,FALSE()),0)</f>
        <v>0.5</v>
      </c>
      <c r="K16" s="35">
        <f t="shared" si="3"/>
        <v>0.5</v>
      </c>
      <c r="L16" s="36">
        <f t="shared" si="4"/>
        <v>0</v>
      </c>
      <c r="M16" s="38" t="str">
        <f t="shared" si="5"/>
        <v/>
      </c>
      <c r="N16" s="31" t="inlineStr">
        <is>
          <t xml:space="preserve">Attendance page + biometrics import and schedule review utilities built (FE, mock). No attendance tables or API yet.</t>
        </is>
      </c>
    </row>
    <row r="17" ht="24.0" customHeight="1">
      <c r="A17" s="28" t="inlineStr">
        <is>
          <t xml:space="preserve">T09</t>
        </is>
      </c>
      <c r="B17" s="30" t="inlineStr">
        <is>
          <t xml:space="preserve">Workforce and time</t>
        </is>
      </c>
      <c r="C17" s="31" t="inlineStr">
        <is>
          <t xml:space="preserve">Schedules (roster, teams, shift templates)</t>
        </is>
      </c>
      <c r="D17" s="32">
        <v>3.0</v>
      </c>
      <c r="E17" s="32">
        <v>4.0</v>
      </c>
      <c r="F17" s="32">
        <v>8.0</v>
      </c>
      <c r="G17" s="11">
        <f t="shared" si="1"/>
        <v>46294</v>
      </c>
      <c r="H17" s="11">
        <f t="shared" si="2"/>
        <v>46307</v>
      </c>
      <c r="I17" s="39" t="inlineStr">
        <is>
          <t xml:space="preserve">In progress</t>
        </is>
      </c>
      <c r="J17" s="34">
        <f>IFERROR(VLOOKUP(I17,Lists!$A$5:$B$8,2,FALSE()),0)</f>
        <v>0.5</v>
      </c>
      <c r="K17" s="35">
        <f t="shared" si="3"/>
        <v>0.5</v>
      </c>
      <c r="L17" s="36">
        <f t="shared" si="4"/>
        <v>0</v>
      </c>
      <c r="M17" s="38" t="str">
        <f t="shared" si="5"/>
        <v/>
      </c>
      <c r="N17" s="31" t="inlineStr">
        <is>
          <t xml:space="preserve">Roster, Teams and supervisors, Shift templates tabs built (FE, mock). Backend pending.</t>
        </is>
      </c>
    </row>
    <row r="18" ht="24.0" customHeight="1">
      <c r="A18" s="28" t="inlineStr">
        <is>
          <t xml:space="preserve">T10</t>
        </is>
      </c>
      <c r="B18" s="30" t="inlineStr">
        <is>
          <t xml:space="preserve">Workforce and time</t>
        </is>
      </c>
      <c r="C18" s="31" t="inlineStr">
        <is>
          <t xml:space="preserve">Leave types, requests, approvals and balances</t>
        </is>
      </c>
      <c r="D18" s="32">
        <v>4.0</v>
      </c>
      <c r="E18" s="32">
        <v>5.0</v>
      </c>
      <c r="F18" s="32">
        <v>8.0</v>
      </c>
      <c r="G18" s="11">
        <f t="shared" si="1"/>
        <v>46301</v>
      </c>
      <c r="H18" s="11">
        <f t="shared" si="2"/>
        <v>46314</v>
      </c>
      <c r="I18" s="39" t="inlineStr">
        <is>
          <t xml:space="preserve">In progress</t>
        </is>
      </c>
      <c r="J18" s="34">
        <f>IFERROR(VLOOKUP(I18,Lists!$A$5:$B$8,2,FALSE()),0)</f>
        <v>0.5</v>
      </c>
      <c r="K18" s="35">
        <f t="shared" si="3"/>
        <v>0</v>
      </c>
      <c r="L18" s="36">
        <f t="shared" si="4"/>
        <v>50</v>
      </c>
      <c r="M18" s="38" t="str">
        <f t="shared" si="5"/>
        <v/>
      </c>
      <c r="N18" s="31" t="inlineStr">
        <is>
          <t xml:space="preserve">Leave page built (FE, mock). Backend pending.</t>
        </is>
      </c>
    </row>
    <row r="19" ht="24.0" customHeight="1">
      <c r="A19" s="28" t="inlineStr">
        <is>
          <t xml:space="preserve">T11</t>
        </is>
      </c>
      <c r="B19" s="30" t="inlineStr">
        <is>
          <t xml:space="preserve">Workforce and time</t>
        </is>
      </c>
      <c r="C19" s="31" t="inlineStr">
        <is>
          <t xml:space="preserve">Overtime and night differential</t>
        </is>
      </c>
      <c r="D19" s="32">
        <v>4.0</v>
      </c>
      <c r="E19" s="32">
        <v>5.0</v>
      </c>
      <c r="F19" s="32">
        <v>6.0</v>
      </c>
      <c r="G19" s="11">
        <f t="shared" si="1"/>
        <v>46301</v>
      </c>
      <c r="H19" s="11">
        <f t="shared" si="2"/>
        <v>46314</v>
      </c>
      <c r="I19" s="39" t="inlineStr">
        <is>
          <t xml:space="preserve">In progress</t>
        </is>
      </c>
      <c r="J19" s="34">
        <f>IFERROR(VLOOKUP(I19,Lists!$A$5:$B$8,2,FALSE()),0)</f>
        <v>0.5</v>
      </c>
      <c r="K19" s="35">
        <f t="shared" si="3"/>
        <v>0</v>
      </c>
      <c r="L19" s="36">
        <f t="shared" si="4"/>
        <v>50</v>
      </c>
      <c r="M19" s="38" t="str">
        <f t="shared" si="5"/>
        <v/>
      </c>
      <c r="N19" s="31" t="inlineStr">
        <is>
          <t xml:space="preserve">Overtime page + ESS OT application built (FE, mock). Backend pending.</t>
        </is>
      </c>
    </row>
    <row r="20" ht="24.0" customHeight="1">
      <c r="A20" s="28" t="inlineStr">
        <is>
          <t xml:space="preserve">T12</t>
        </is>
      </c>
      <c r="B20" s="30" t="inlineStr">
        <is>
          <t xml:space="preserve">Workforce and time</t>
        </is>
      </c>
      <c r="C20" s="31" t="inlineStr">
        <is>
          <t xml:space="preserve">Hourly and output compensation approvals</t>
        </is>
      </c>
      <c r="D20" s="32">
        <v>5.0</v>
      </c>
      <c r="E20" s="32">
        <v>6.0</v>
      </c>
      <c r="F20" s="32">
        <v>6.0</v>
      </c>
      <c r="G20" s="11">
        <f t="shared" si="1"/>
        <v>46308</v>
      </c>
      <c r="H20" s="11">
        <f t="shared" si="2"/>
        <v>46321</v>
      </c>
      <c r="I20" s="39" t="inlineStr">
        <is>
          <t xml:space="preserve">In progress</t>
        </is>
      </c>
      <c r="J20" s="34">
        <f>IFERROR(VLOOKUP(I20,Lists!$A$5:$B$8,2,FALSE()),0)</f>
        <v>0.5</v>
      </c>
      <c r="K20" s="35">
        <f t="shared" si="3"/>
        <v>0</v>
      </c>
      <c r="L20" s="36">
        <f t="shared" si="4"/>
        <v>50</v>
      </c>
      <c r="M20" s="38" t="str">
        <f t="shared" si="5"/>
        <v/>
      </c>
      <c r="N20" s="31" t="inlineStr">
        <is>
          <t xml:space="preserve">Approvals page built (FE, mock). Backend pending.</t>
        </is>
      </c>
    </row>
    <row r="21" ht="24.0" customHeight="1">
      <c r="A21" s="28" t="inlineStr">
        <is>
          <t xml:space="preserve">T13</t>
        </is>
      </c>
      <c r="B21" s="30" t="inlineStr">
        <is>
          <t xml:space="preserve">Payroll and compliance</t>
        </is>
      </c>
      <c r="C21" s="31" t="inlineStr">
        <is>
          <t xml:space="preserve">Benefits, loans and deductions</t>
        </is>
      </c>
      <c r="D21" s="32">
        <v>5.0</v>
      </c>
      <c r="E21" s="32">
        <v>6.0</v>
      </c>
      <c r="F21" s="32">
        <v>8.0</v>
      </c>
      <c r="G21" s="11">
        <f t="shared" si="1"/>
        <v>46308</v>
      </c>
      <c r="H21" s="11">
        <f t="shared" si="2"/>
        <v>46321</v>
      </c>
      <c r="I21" s="39" t="inlineStr">
        <is>
          <t xml:space="preserve">In progress</t>
        </is>
      </c>
      <c r="J21" s="34">
        <f>IFERROR(VLOOKUP(I21,Lists!$A$5:$B$8,2,FALSE()),0)</f>
        <v>0.5</v>
      </c>
      <c r="K21" s="35">
        <f t="shared" si="3"/>
        <v>0</v>
      </c>
      <c r="L21" s="36">
        <f t="shared" si="4"/>
        <v>50</v>
      </c>
      <c r="M21" s="38" t="str">
        <f t="shared" si="5"/>
        <v/>
      </c>
      <c r="N21" s="31" t="inlineStr">
        <is>
          <t xml:space="preserve">Loans and Deductions page + benefit/loan services built (FE, mock). Backend pending.</t>
        </is>
      </c>
    </row>
    <row r="22" ht="24.0" customHeight="1">
      <c r="A22" s="28" t="inlineStr">
        <is>
          <t xml:space="preserve">T14</t>
        </is>
      </c>
      <c r="B22" s="30" t="inlineStr">
        <is>
          <t xml:space="preserve">Payroll and compliance</t>
        </is>
      </c>
      <c r="C22" s="31" t="inlineStr">
        <is>
          <t xml:space="preserve">Payroll computation, runs and approvals</t>
        </is>
      </c>
      <c r="D22" s="32">
        <v>5.0</v>
      </c>
      <c r="E22" s="32">
        <v>8.0</v>
      </c>
      <c r="F22" s="32">
        <v>14.0</v>
      </c>
      <c r="G22" s="11">
        <f t="shared" si="1"/>
        <v>46308</v>
      </c>
      <c r="H22" s="11">
        <f t="shared" si="2"/>
        <v>46335</v>
      </c>
      <c r="I22" s="39" t="inlineStr">
        <is>
          <t xml:space="preserve">In progress</t>
        </is>
      </c>
      <c r="J22" s="34">
        <f>IFERROR(VLOOKUP(I22,Lists!$A$5:$B$8,2,FALSE()),0)</f>
        <v>0.5</v>
      </c>
      <c r="K22" s="35">
        <f t="shared" si="3"/>
        <v>0</v>
      </c>
      <c r="L22" s="36">
        <f t="shared" si="4"/>
        <v>50</v>
      </c>
      <c r="M22" s="38" t="str">
        <f t="shared" si="5"/>
        <v/>
      </c>
      <c r="N22" s="31" t="inlineStr">
        <is>
          <t xml:space="preserve">Payroll list + period detail, computation breakdown, pay frequency and rate logic built (FE, mock). Computation not yet server-side.</t>
        </is>
      </c>
    </row>
    <row r="23" ht="24.0" customHeight="1">
      <c r="A23" s="28" t="inlineStr">
        <is>
          <t xml:space="preserve">T15</t>
        </is>
      </c>
      <c r="B23" s="30" t="inlineStr">
        <is>
          <t xml:space="preserve">Payroll and compliance</t>
        </is>
      </c>
      <c r="C23" s="31" t="inlineStr">
        <is>
          <t xml:space="preserve">Payslips (admin and employee views, email)</t>
        </is>
      </c>
      <c r="D23" s="32">
        <v>7.0</v>
      </c>
      <c r="E23" s="32">
        <v>8.0</v>
      </c>
      <c r="F23" s="32">
        <v>6.0</v>
      </c>
      <c r="G23" s="11">
        <f t="shared" si="1"/>
        <v>46322</v>
      </c>
      <c r="H23" s="11">
        <f t="shared" si="2"/>
        <v>46335</v>
      </c>
      <c r="I23" s="39" t="inlineStr">
        <is>
          <t xml:space="preserve">In progress</t>
        </is>
      </c>
      <c r="J23" s="34">
        <f>IFERROR(VLOOKUP(I23,Lists!$A$5:$B$8,2,FALSE()),0)</f>
        <v>0.5</v>
      </c>
      <c r="K23" s="35">
        <f t="shared" si="3"/>
        <v>0</v>
      </c>
      <c r="L23" s="36">
        <f t="shared" si="4"/>
        <v>50</v>
      </c>
      <c r="M23" s="38" t="str">
        <f t="shared" si="5"/>
        <v/>
      </c>
      <c r="N23" s="31" t="inlineStr">
        <is>
          <t xml:space="preserve">Payslip list/detail and payslip email service built (FE, mock). PDF/email delivery not yet server-side.</t>
        </is>
      </c>
    </row>
    <row r="24" ht="24.0" customHeight="1">
      <c r="A24" s="28" t="inlineStr">
        <is>
          <t xml:space="preserve">T16</t>
        </is>
      </c>
      <c r="B24" s="30" t="inlineStr">
        <is>
          <t xml:space="preserve">Payroll and compliance</t>
        </is>
      </c>
      <c r="C24" s="31" t="inlineStr">
        <is>
          <t xml:space="preserve">Bonuses, incentives and 13th month pay</t>
        </is>
      </c>
      <c r="D24" s="32">
        <v>7.0</v>
      </c>
      <c r="E24" s="32">
        <v>8.0</v>
      </c>
      <c r="F24" s="32">
        <v>8.0</v>
      </c>
      <c r="G24" s="11">
        <f t="shared" si="1"/>
        <v>46322</v>
      </c>
      <c r="H24" s="11">
        <f t="shared" si="2"/>
        <v>46335</v>
      </c>
      <c r="I24" s="39" t="inlineStr">
        <is>
          <t xml:space="preserve">In progress</t>
        </is>
      </c>
      <c r="J24" s="34">
        <f>IFERROR(VLOOKUP(I24,Lists!$A$5:$B$8,2,FALSE()),0)</f>
        <v>0.5</v>
      </c>
      <c r="K24" s="35">
        <f t="shared" si="3"/>
        <v>0</v>
      </c>
      <c r="L24" s="36">
        <f t="shared" si="4"/>
        <v>50</v>
      </c>
      <c r="M24" s="38" t="str">
        <f t="shared" si="5"/>
        <v/>
      </c>
      <c r="N24" s="31" t="inlineStr">
        <is>
          <t xml:space="preserve">Bonuses and 13th month pages + payslips built (FE, mock). Backend pending.</t>
        </is>
      </c>
    </row>
    <row r="25" ht="24.0" customHeight="1">
      <c r="A25" s="28" t="inlineStr">
        <is>
          <t xml:space="preserve">T17</t>
        </is>
      </c>
      <c r="B25" s="30" t="inlineStr">
        <is>
          <t xml:space="preserve">Payroll and compliance</t>
        </is>
      </c>
      <c r="C25" s="31" t="inlineStr">
        <is>
          <t xml:space="preserve">Statutory contributions and withholding tax</t>
        </is>
      </c>
      <c r="D25" s="32">
        <v>6.0</v>
      </c>
      <c r="E25" s="32">
        <v>8.0</v>
      </c>
      <c r="F25" s="32">
        <v>10.0</v>
      </c>
      <c r="G25" s="11">
        <f t="shared" si="1"/>
        <v>46315</v>
      </c>
      <c r="H25" s="11">
        <f t="shared" si="2"/>
        <v>46335</v>
      </c>
      <c r="I25" s="39" t="inlineStr">
        <is>
          <t xml:space="preserve">In progress</t>
        </is>
      </c>
      <c r="J25" s="34">
        <f>IFERROR(VLOOKUP(I25,Lists!$A$5:$B$8,2,FALSE()),0)</f>
        <v>0.5</v>
      </c>
      <c r="K25" s="35">
        <f t="shared" si="3"/>
        <v>0</v>
      </c>
      <c r="L25" s="36">
        <f t="shared" si="4"/>
        <v>50</v>
      </c>
      <c r="M25" s="38" t="str">
        <f t="shared" si="5"/>
        <v/>
      </c>
      <c r="N25" s="31" t="inlineStr">
        <is>
          <t xml:space="preserve">Statutory page (SSS, PhilHealth, Pag-IBIG, tax cards) and tax compliance logic built (FE, mock). Contribution tables not yet in DB.</t>
        </is>
      </c>
    </row>
    <row r="26" ht="24.0" customHeight="1">
      <c r="A26" s="28" t="inlineStr">
        <is>
          <t xml:space="preserve">T18</t>
        </is>
      </c>
      <c r="B26" s="30" t="inlineStr">
        <is>
          <t xml:space="preserve">Payroll and compliance</t>
        </is>
      </c>
      <c r="C26" s="31" t="inlineStr">
        <is>
          <t xml:space="preserve">Reports, dashboard and notifications</t>
        </is>
      </c>
      <c r="D26" s="32">
        <v>8.0</v>
      </c>
      <c r="E26" s="32">
        <v>9.0</v>
      </c>
      <c r="F26" s="32">
        <v>10.0</v>
      </c>
      <c r="G26" s="11">
        <f t="shared" si="1"/>
        <v>46329</v>
      </c>
      <c r="H26" s="11">
        <f t="shared" si="2"/>
        <v>46342</v>
      </c>
      <c r="I26" s="39" t="inlineStr">
        <is>
          <t xml:space="preserve">In progress</t>
        </is>
      </c>
      <c r="J26" s="34">
        <f>IFERROR(VLOOKUP(I26,Lists!$A$5:$B$8,2,FALSE()),0)</f>
        <v>0.5</v>
      </c>
      <c r="K26" s="35">
        <f t="shared" si="3"/>
        <v>0</v>
      </c>
      <c r="L26" s="36">
        <f t="shared" si="4"/>
        <v>50</v>
      </c>
      <c r="M26" s="38" t="str">
        <f t="shared" si="5"/>
        <v/>
      </c>
      <c r="N26" s="31" t="inlineStr">
        <is>
          <t xml:space="preserve">Reports (export), Dashboard, Notifications built (FE, mock). Insights page is Coming Soon only.</t>
        </is>
      </c>
    </row>
    <row r="27" ht="24.0" customHeight="1">
      <c r="A27" s="28" t="inlineStr">
        <is>
          <t xml:space="preserve">T19</t>
        </is>
      </c>
      <c r="B27" s="30" t="inlineStr">
        <is>
          <t xml:space="preserve">Portals, platform and launch</t>
        </is>
      </c>
      <c r="C27" s="31" t="inlineStr">
        <is>
          <t xml:space="preserve">Employee and Manager self-service (ESS)</t>
        </is>
      </c>
      <c r="D27" s="32">
        <v>6.0</v>
      </c>
      <c r="E27" s="32">
        <v>8.0</v>
      </c>
      <c r="F27" s="32">
        <v>10.0</v>
      </c>
      <c r="G27" s="11">
        <f t="shared" si="1"/>
        <v>46315</v>
      </c>
      <c r="H27" s="11">
        <f t="shared" si="2"/>
        <v>46335</v>
      </c>
      <c r="I27" s="39" t="inlineStr">
        <is>
          <t xml:space="preserve">In progress</t>
        </is>
      </c>
      <c r="J27" s="34">
        <f>IFERROR(VLOOKUP(I27,Lists!$A$5:$B$8,2,FALSE()),0)</f>
        <v>0.5</v>
      </c>
      <c r="K27" s="35">
        <f t="shared" si="3"/>
        <v>0</v>
      </c>
      <c r="L27" s="36">
        <f t="shared" si="4"/>
        <v>50</v>
      </c>
      <c r="M27" s="38" t="str">
        <f t="shared" si="5"/>
        <v/>
      </c>
      <c r="N27" s="31" t="inlineStr">
        <is>
          <t xml:space="preserve">ESS home, profile, payslips, attendance, overtime, leave, loans pages built (FE, mock). Manager approval views reuse admin pages.</t>
        </is>
      </c>
    </row>
    <row r="28" ht="24.0" customHeight="1">
      <c r="A28" s="28" t="inlineStr">
        <is>
          <t xml:space="preserve">T20</t>
        </is>
      </c>
      <c r="B28" s="30" t="inlineStr">
        <is>
          <t xml:space="preserve">Portals, platform and launch</t>
        </is>
      </c>
      <c r="C28" s="31" t="inlineStr">
        <is>
          <t xml:space="preserve">Super Admin: companies, subscription, plans</t>
        </is>
      </c>
      <c r="D28" s="32">
        <v>9.0</v>
      </c>
      <c r="E28" s="32">
        <v>9.0</v>
      </c>
      <c r="F28" s="32">
        <v>10.0</v>
      </c>
      <c r="G28" s="11">
        <f t="shared" si="1"/>
        <v>46336</v>
      </c>
      <c r="H28" s="11">
        <f t="shared" si="2"/>
        <v>46342</v>
      </c>
      <c r="I28" s="39" t="inlineStr">
        <is>
          <t xml:space="preserve">In progress</t>
        </is>
      </c>
      <c r="J28" s="34">
        <f>IFERROR(VLOOKUP(I28,Lists!$A$5:$B$8,2,FALSE()),0)</f>
        <v>0.5</v>
      </c>
      <c r="K28" s="35">
        <f t="shared" si="3"/>
        <v>0</v>
      </c>
      <c r="L28" s="36">
        <f t="shared" si="4"/>
        <v>50</v>
      </c>
      <c r="M28" s="38" t="str">
        <f t="shared" si="5"/>
        <v/>
      </c>
      <c r="N28" s="31" t="inlineStr">
        <is>
          <t xml:space="preserve">Companies page (mock) and Subscription page built. Platform user mgmt, global tax/contribution tables, support tickets, platform reports not started.</t>
        </is>
      </c>
    </row>
    <row r="29" ht="24.0" customHeight="1">
      <c r="A29" s="28" t="inlineStr">
        <is>
          <t xml:space="preserve">T21</t>
        </is>
      </c>
      <c r="B29" s="30" t="inlineStr">
        <is>
          <t xml:space="preserve">Portals, platform and launch</t>
        </is>
      </c>
      <c r="C29" s="31" t="inlineStr">
        <is>
          <t xml:space="preserve">Integrations and API (API keys, webhooks)</t>
        </is>
      </c>
      <c r="D29" s="32">
        <v>9.0</v>
      </c>
      <c r="E29" s="32">
        <v>10.0</v>
      </c>
      <c r="F29" s="32">
        <v>6.0</v>
      </c>
      <c r="G29" s="11">
        <f t="shared" si="1"/>
        <v>46336</v>
      </c>
      <c r="H29" s="11">
        <f t="shared" si="2"/>
        <v>46349</v>
      </c>
      <c r="I29" s="39" t="inlineStr">
        <is>
          <t xml:space="preserve">In progress</t>
        </is>
      </c>
      <c r="J29" s="34">
        <f>IFERROR(VLOOKUP(I29,Lists!$A$5:$B$8,2,FALSE()),0)</f>
        <v>0.5</v>
      </c>
      <c r="K29" s="35">
        <f t="shared" si="3"/>
        <v>0</v>
      </c>
      <c r="L29" s="36">
        <f t="shared" si="4"/>
        <v>50</v>
      </c>
      <c r="M29" s="38" t="str">
        <f t="shared" si="5"/>
        <v/>
      </c>
      <c r="N29" s="31" t="inlineStr">
        <is>
          <t xml:space="preserve">Integrations page with API keys and webhooks UI built (FE, mock); connected services still Coming Soon. No backend.</t>
        </is>
      </c>
    </row>
    <row r="30" ht="24.0" customHeight="1">
      <c r="A30" s="28" t="inlineStr">
        <is>
          <t xml:space="preserve">T22</t>
        </is>
      </c>
      <c r="B30" s="30" t="inlineStr">
        <is>
          <t xml:space="preserve">Portals, platform and launch</t>
        </is>
      </c>
      <c r="C30" s="31" t="inlineStr">
        <is>
          <t xml:space="preserve">QA testing, bug fixing and performance checks</t>
        </is>
      </c>
      <c r="D30" s="32">
        <v>9.0</v>
      </c>
      <c r="E30" s="32">
        <v>11.0</v>
      </c>
      <c r="F30" s="32">
        <v>14.0</v>
      </c>
      <c r="G30" s="11">
        <f t="shared" si="1"/>
        <v>46336</v>
      </c>
      <c r="H30" s="11">
        <f t="shared" si="2"/>
        <v>46356</v>
      </c>
      <c r="I30" s="39" t="inlineStr">
        <is>
          <t xml:space="preserve">Not started</t>
        </is>
      </c>
      <c r="J30" s="34">
        <f>IFERROR(VLOOKUP(I30,Lists!$A$5:$B$8,2,FALSE()),0)</f>
        <v>0</v>
      </c>
      <c r="K30" s="35">
        <f t="shared" si="3"/>
        <v>0</v>
      </c>
      <c r="L30" s="36">
        <f t="shared" si="4"/>
        <v>0</v>
      </c>
      <c r="M30" s="38" t="str">
        <f t="shared" si="5"/>
        <v/>
      </c>
      <c r="N30" s="31" t="inlineStr">
        <is>
          <t xml:space="preserve">Not started. Previous tracker had Final QA rows marked Completed; no QA evidence in the project, so reset.</t>
        </is>
      </c>
    </row>
    <row r="31" ht="24.0" customHeight="1">
      <c r="A31" s="28" t="inlineStr">
        <is>
          <t xml:space="preserve">T23</t>
        </is>
      </c>
      <c r="B31" s="30" t="inlineStr">
        <is>
          <t xml:space="preserve">Portals, platform and launch</t>
        </is>
      </c>
      <c r="C31" s="31" t="inlineStr">
        <is>
          <t xml:space="preserve">UAT, pilot and go-live</t>
        </is>
      </c>
      <c r="D31" s="32">
        <v>10.0</v>
      </c>
      <c r="E31" s="32">
        <v>11.0</v>
      </c>
      <c r="F31" s="32">
        <v>8.0</v>
      </c>
      <c r="G31" s="11">
        <f t="shared" si="1"/>
        <v>46343</v>
      </c>
      <c r="H31" s="11">
        <f t="shared" si="2"/>
        <v>46356</v>
      </c>
      <c r="I31" s="39" t="inlineStr">
        <is>
          <t xml:space="preserve">Not started</t>
        </is>
      </c>
      <c r="J31" s="34">
        <f>IFERROR(VLOOKUP(I31,Lists!$A$5:$B$8,2,FALSE()),0)</f>
        <v>0</v>
      </c>
      <c r="K31" s="35">
        <f t="shared" si="3"/>
        <v>0</v>
      </c>
      <c r="L31" s="36">
        <f t="shared" si="4"/>
        <v>0</v>
      </c>
      <c r="M31" s="38" t="str">
        <f t="shared" si="5"/>
        <v/>
      </c>
      <c r="N31" s="31" t="inlineStr">
        <is>
          <t xml:space="preserve">Not started.</t>
        </is>
      </c>
    </row>
    <row r="32" ht="25.5" customHeight="1">
      <c r="A32" s="40" t="s">
        <v>89</v>
      </c>
      <c r="B32" s="41"/>
      <c r="C32" s="41"/>
      <c r="D32" s="41"/>
      <c r="E32" s="41"/>
      <c r="F32" s="44">
        <f>SUM(F9:F31)</f>
        <v>191</v>
      </c>
      <c r="G32" s="41"/>
      <c r="H32" s="41"/>
      <c r="I32" s="41"/>
      <c r="J32" s="49">
        <f>SUMPRODUCT(F9:F31,J9:J31)/F32</f>
        <v>0.455497382198953</v>
      </c>
      <c r="K32" s="52">
        <f>SUMPRODUCT(F9:F31,K9:K31)/F32</f>
        <v>0.298429319371728</v>
      </c>
      <c r="L32" s="53">
        <f t="shared" si="4"/>
        <v>15.7068062827225</v>
      </c>
      <c r="M32" s="41"/>
      <c r="N32" s="41"/>
    </row>
    <row r="33" ht="15.75" customHeight="1"/>
    <row r="34" ht="15.75" customHeight="1">
      <c r="A34" s="55" t="s">
        <v>103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9:B31">
    <cfRule type="cellIs" dxfId="2" priority="1" operator="equal">
      <formula>"Foundation"</formula>
    </cfRule>
  </conditionalFormatting>
  <conditionalFormatting sqref="B9:B31">
    <cfRule type="cellIs" dxfId="3" priority="2" operator="equal">
      <formula>"Core selling"</formula>
    </cfRule>
  </conditionalFormatting>
  <conditionalFormatting sqref="B9:B31">
    <cfRule type="cellIs" dxfId="4" priority="3" operator="equal">
      <formula>"Subscription and Admin"</formula>
    </cfRule>
  </conditionalFormatting>
  <conditionalFormatting sqref="B9:B31">
    <cfRule type="cellIs" dxfId="5" priority="4" operator="equal">
      <formula>"Quality and launch"</formula>
    </cfRule>
  </conditionalFormatting>
  <conditionalFormatting sqref="I9:I31">
    <cfRule type="cellIs" dxfId="6" priority="5" operator="equal">
      <formula>"Done"</formula>
    </cfRule>
  </conditionalFormatting>
  <conditionalFormatting sqref="I9:I31">
    <cfRule type="cellIs" dxfId="7" priority="6" operator="equal">
      <formula>"In progress"</formula>
    </cfRule>
  </conditionalFormatting>
  <conditionalFormatting sqref="I9:I31">
    <cfRule type="cellIs" dxfId="8" priority="7" operator="equal">
      <formula>"In testing"</formula>
    </cfRule>
  </conditionalFormatting>
  <conditionalFormatting sqref="I9:I31">
    <cfRule type="cellIs" dxfId="9" priority="8" operator="equal">
      <formula>"Not started"</formula>
    </cfRule>
  </conditionalFormatting>
  <conditionalFormatting sqref="M9:M31">
    <cfRule type="cellIs" dxfId="10" priority="9" operator="equal">
      <formula>"Behind plan"</formula>
    </cfRule>
  </conditionalFormatting>
  <conditionalFormatting sqref="L9:L31">
    <cfRule type="cellIs" dxfId="0" priority="10" operator="lessThanOrEqual">
      <formula>-25</formula>
    </cfRule>
  </conditionalFormatting>
  <conditionalFormatting sqref="A9:A31">
    <cfRule type="expression" dxfId="11" priority="11">
      <formula>MOD(ROW(),2)=0</formula>
    </cfRule>
  </conditionalFormatting>
  <conditionalFormatting sqref="C9:H31">
    <cfRule type="expression" dxfId="11" priority="12">
      <formula>MOD(ROW(),2)=0</formula>
    </cfRule>
  </conditionalFormatting>
  <conditionalFormatting sqref="K9:L31">
    <cfRule type="expression" dxfId="11" priority="13">
      <formula>MOD(ROW(),2)=0</formula>
    </cfRule>
  </conditionalFormatting>
  <conditionalFormatting sqref="N9:N31">
    <cfRule type="expression" dxfId="11" priority="14">
      <formula>MOD(ROW(),2)=0</formula>
    </cfRule>
  </conditionalFormatting>
  <dataValidations>
    <dataValidation type="list" allowBlank="1" showInputMessage="1" showErrorMessage="1" prompt="Status - Pick a status from the list." sqref="I9:I31">
      <formula1>Lists!$A$5:$A$8</formula1>
    </dataValidation>
  </dataValidations>
  <printOptions/>
  <pageMargins bottom="1.0" footer="0.0" header="0.0" left="0.75" right="0.75" top="1.0"/>
  <pageSetup fitToHeight="0" orientation="landscape"/>
  <headerFooter>
    <oddFooter>&amp;L Project Owner: Louren Isobel Rubico&amp;R Page &amp;P of 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2B3A"/>
    <pageSetUpPr fitToPage="1"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7.0"/>
    <col customWidth="1" min="2" max="2" width="48.0"/>
    <col customWidth="1" min="3" max="15" width="7.43"/>
    <col customWidth="1" min="16" max="16" width="10.0"/>
    <col customWidth="1" min="17" max="26" width="8.71"/>
  </cols>
  <sheetData>
    <row r="1" ht="36.0" customHeight="1">
      <c r="A1" s="1" t="inlineStr">
        <is>
          <t xml:space="preserve">Schedule: weekly plan with progress (target finish Nov 30, 2026)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1.75" customHeight="1">
      <c r="A2" s="3" t="str">
        <f>"Project Owner: "&amp;Tracker!$C$3&amp;"   |   Light teal = scheduled weeks, dark teal = share complete, amber = current week"</f>
        <v>Project Owner: Thea Consignado   |   Light teal = scheduled weeks, dark teal = share complete, amber = current week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C3" s="9" t="s">
        <v>6</v>
      </c>
      <c r="D3" s="12"/>
      <c r="E3" s="12"/>
      <c r="F3" s="14"/>
      <c r="G3" s="16" t="s">
        <v>17</v>
      </c>
      <c r="H3" s="12"/>
      <c r="I3" s="12"/>
      <c r="J3" s="14"/>
      <c r="K3" s="17" t="s">
        <v>20</v>
      </c>
      <c r="L3" s="12"/>
      <c r="M3" s="12"/>
      <c r="N3" s="12"/>
      <c r="O3" s="14"/>
    </row>
    <row r="4">
      <c r="A4" s="19" t="s">
        <v>21</v>
      </c>
      <c r="B4" s="20" t="s">
        <v>22</v>
      </c>
      <c r="C4" s="22">
        <v>1.0</v>
      </c>
      <c r="D4" s="22">
        <v>2.0</v>
      </c>
      <c r="E4" s="22">
        <v>3.0</v>
      </c>
      <c r="F4" s="22">
        <v>4.0</v>
      </c>
      <c r="G4" s="22">
        <v>5.0</v>
      </c>
      <c r="H4" s="22">
        <v>6.0</v>
      </c>
      <c r="I4" s="22">
        <v>7.0</v>
      </c>
      <c r="J4" s="22">
        <v>8.0</v>
      </c>
      <c r="K4" s="22">
        <v>9.0</v>
      </c>
      <c r="L4" s="22">
        <v>10.0</v>
      </c>
      <c r="M4" s="22">
        <v>11.0</v>
      </c>
      <c r="N4" s="22">
        <v>12.0</v>
      </c>
      <c r="O4" s="22">
        <v>13.0</v>
      </c>
      <c r="P4" s="19" t="s">
        <v>23</v>
      </c>
    </row>
    <row r="5">
      <c r="A5" s="24"/>
      <c r="B5" s="25" t="s">
        <v>7</v>
      </c>
      <c r="C5" s="29">
        <f>Tracker!$C$4+(C$4-1)*7</f>
        <v>46280</v>
      </c>
      <c r="D5" s="29">
        <f>Tracker!$C$4+(D$4-1)*7</f>
        <v>46287</v>
      </c>
      <c r="E5" s="29">
        <f>Tracker!$C$4+(E$4-1)*7</f>
        <v>46294</v>
      </c>
      <c r="F5" s="29">
        <f>Tracker!$C$4+(F$4-1)*7</f>
        <v>46301</v>
      </c>
      <c r="G5" s="29">
        <f>Tracker!$C$4+(G$4-1)*7</f>
        <v>46308</v>
      </c>
      <c r="H5" s="29">
        <f>Tracker!$C$4+(H$4-1)*7</f>
        <v>46315</v>
      </c>
      <c r="I5" s="29">
        <f>Tracker!$C$4+(I$4-1)*7</f>
        <v>46322</v>
      </c>
      <c r="J5" s="29">
        <f>Tracker!$C$4+(J$4-1)*7</f>
        <v>46329</v>
      </c>
      <c r="K5" s="29">
        <f>Tracker!$C$4+(K$4-1)*7</f>
        <v>46336</v>
      </c>
      <c r="L5" s="29">
        <f>Tracker!$C$4+(L$4-1)*7</f>
        <v>46343</v>
      </c>
      <c r="M5" s="29">
        <f>Tracker!$C$4+(M$4-1)*7</f>
        <v>46350</v>
      </c>
      <c r="N5" s="29">
        <f>Tracker!$C$4+(N$4-1)*7</f>
        <v>46357</v>
      </c>
      <c r="O5" s="29">
        <f>Tracker!$C$4+(O$4-1)*7</f>
        <v>46364</v>
      </c>
      <c r="P5" s="24"/>
    </row>
    <row r="6" ht="21.0" customHeight="1">
      <c r="A6" s="28" t="str">
        <f>Tracker!A9</f>
        <v>T01</v>
      </c>
      <c r="B6" s="27" t="str">
        <f>Tracker!C9</f>
        <v>Project setup, architecture, UI/UX foundation</v>
      </c>
      <c r="C6" s="37">
        <f>IF(AND(C$4&gt;=Tracker!$D9,C$4&lt;=Tracker!$E9),IF((C$4-Tracker!$D9+1)/(Tracker!$E9-Tracker!$D9+1)&lt;=Tracker!$J9+0.0001,2,1),0)</f>
        <v>2</v>
      </c>
      <c r="D6" s="37">
        <f>IF(AND(D$4&gt;=Tracker!$D9,D$4&lt;=Tracker!$E9),IF((D$4-Tracker!$D9+1)/(Tracker!$E9-Tracker!$D9+1)&lt;=Tracker!$J9+0.0001,2,1),0)</f>
        <v>0</v>
      </c>
      <c r="E6" s="37">
        <f>IF(AND(E$4&gt;=Tracker!$D9,E$4&lt;=Tracker!$E9),IF((E$4-Tracker!$D9+1)/(Tracker!$E9-Tracker!$D9+1)&lt;=Tracker!$J9+0.0001,2,1),0)</f>
        <v>0</v>
      </c>
      <c r="F6" s="37">
        <f>IF(AND(F$4&gt;=Tracker!$D9,F$4&lt;=Tracker!$E9),IF((F$4-Tracker!$D9+1)/(Tracker!$E9-Tracker!$D9+1)&lt;=Tracker!$J9+0.0001,2,1),0)</f>
        <v>0</v>
      </c>
      <c r="G6" s="37">
        <f>IF(AND(G$4&gt;=Tracker!$D9,G$4&lt;=Tracker!$E9),IF((G$4-Tracker!$D9+1)/(Tracker!$E9-Tracker!$D9+1)&lt;=Tracker!$J9+0.0001,2,1),0)</f>
        <v>0</v>
      </c>
      <c r="H6" s="37">
        <f>IF(AND(H$4&gt;=Tracker!$D9,H$4&lt;=Tracker!$E9),IF((H$4-Tracker!$D9+1)/(Tracker!$E9-Tracker!$D9+1)&lt;=Tracker!$J9+0.0001,2,1),0)</f>
        <v>0</v>
      </c>
      <c r="I6" s="37">
        <f>IF(AND(I$4&gt;=Tracker!$D9,I$4&lt;=Tracker!$E9),IF((I$4-Tracker!$D9+1)/(Tracker!$E9-Tracker!$D9+1)&lt;=Tracker!$J9+0.0001,2,1),0)</f>
        <v>0</v>
      </c>
      <c r="J6" s="37">
        <f>IF(AND(J$4&gt;=Tracker!$D9,J$4&lt;=Tracker!$E9),IF((J$4-Tracker!$D9+1)/(Tracker!$E9-Tracker!$D9+1)&lt;=Tracker!$J9+0.0001,2,1),0)</f>
        <v>0</v>
      </c>
      <c r="K6" s="37">
        <f>IF(AND(K$4&gt;=Tracker!$D9,K$4&lt;=Tracker!$E9),IF((K$4-Tracker!$D9+1)/(Tracker!$E9-Tracker!$D9+1)&lt;=Tracker!$J9+0.0001,2,1),0)</f>
        <v>0</v>
      </c>
      <c r="L6" s="37">
        <f>IF(AND(L$4&gt;=Tracker!$D9,L$4&lt;=Tracker!$E9),IF((L$4-Tracker!$D9+1)/(Tracker!$E9-Tracker!$D9+1)&lt;=Tracker!$J9+0.0001,2,1),0)</f>
        <v>0</v>
      </c>
      <c r="M6" s="37">
        <f>IF(AND(M$4&gt;=Tracker!$D9,M$4&lt;=Tracker!$E9),IF((M$4-Tracker!$D9+1)/(Tracker!$E9-Tracker!$D9+1)&lt;=Tracker!$J9+0.0001,2,1),0)</f>
        <v>0</v>
      </c>
      <c r="N6" s="37">
        <f>IF(AND(N$4&gt;=Tracker!$D9,N$4&lt;=Tracker!$E9),IF((N$4-Tracker!$D9+1)/(Tracker!$E9-Tracker!$D9+1)&lt;=Tracker!$J9+0.0001,2,1),0)</f>
        <v>0</v>
      </c>
      <c r="O6" s="37">
        <f>IF(AND(O$4&gt;=Tracker!$D9,O$4&lt;=Tracker!$E9),IF((O$4-Tracker!$D9+1)/(Tracker!$E9-Tracker!$D9+1)&lt;=Tracker!$J9+0.0001,2,1),0)</f>
        <v>0</v>
      </c>
      <c r="P6" s="34">
        <f>Tracker!J9</f>
        <v>1</v>
      </c>
    </row>
    <row r="7" ht="21.0" customHeight="1">
      <c r="A7" s="28" t="str">
        <f>Tracker!A10</f>
        <v>T02</v>
      </c>
      <c r="B7" s="27" t="str">
        <f>Tracker!C10</f>
        <v>Database design and multi-tenant setup</v>
      </c>
      <c r="C7" s="37">
        <f>IF(AND(C$4&gt;=Tracker!$D10,C$4&lt;=Tracker!$E10),IF((C$4-Tracker!$D10+1)/(Tracker!$E10-Tracker!$D10+1)&lt;=Tracker!$J10+0.0001,2,1),0)</f>
        <v>2</v>
      </c>
      <c r="D7" s="37">
        <f>IF(AND(D$4&gt;=Tracker!$D10,D$4&lt;=Tracker!$E10),IF((D$4-Tracker!$D10+1)/(Tracker!$E10-Tracker!$D10+1)&lt;=Tracker!$J10+0.0001,2,1),0)</f>
        <v>1</v>
      </c>
      <c r="E7" s="37">
        <f>IF(AND(E$4&gt;=Tracker!$D10,E$4&lt;=Tracker!$E10),IF((E$4-Tracker!$D10+1)/(Tracker!$E10-Tracker!$D10+1)&lt;=Tracker!$J10+0.0001,2,1),0)</f>
        <v>1</v>
      </c>
      <c r="F7" s="37">
        <f>IF(AND(F$4&gt;=Tracker!$D10,F$4&lt;=Tracker!$E10),IF((F$4-Tracker!$D10+1)/(Tracker!$E10-Tracker!$D10+1)&lt;=Tracker!$J10+0.0001,2,1),0)</f>
        <v>0</v>
      </c>
      <c r="G7" s="37">
        <f>IF(AND(G$4&gt;=Tracker!$D10,G$4&lt;=Tracker!$E10),IF((G$4-Tracker!$D10+1)/(Tracker!$E10-Tracker!$D10+1)&lt;=Tracker!$J10+0.0001,2,1),0)</f>
        <v>0</v>
      </c>
      <c r="H7" s="37">
        <f>IF(AND(H$4&gt;=Tracker!$D10,H$4&lt;=Tracker!$E10),IF((H$4-Tracker!$D10+1)/(Tracker!$E10-Tracker!$D10+1)&lt;=Tracker!$J10+0.0001,2,1),0)</f>
        <v>0</v>
      </c>
      <c r="I7" s="37">
        <f>IF(AND(I$4&gt;=Tracker!$D10,I$4&lt;=Tracker!$E10),IF((I$4-Tracker!$D10+1)/(Tracker!$E10-Tracker!$D10+1)&lt;=Tracker!$J10+0.0001,2,1),0)</f>
        <v>0</v>
      </c>
      <c r="J7" s="37">
        <f>IF(AND(J$4&gt;=Tracker!$D10,J$4&lt;=Tracker!$E10),IF((J$4-Tracker!$D10+1)/(Tracker!$E10-Tracker!$D10+1)&lt;=Tracker!$J10+0.0001,2,1),0)</f>
        <v>0</v>
      </c>
      <c r="K7" s="37">
        <f>IF(AND(K$4&gt;=Tracker!$D10,K$4&lt;=Tracker!$E10),IF((K$4-Tracker!$D10+1)/(Tracker!$E10-Tracker!$D10+1)&lt;=Tracker!$J10+0.0001,2,1),0)</f>
        <v>0</v>
      </c>
      <c r="L7" s="37">
        <f>IF(AND(L$4&gt;=Tracker!$D10,L$4&lt;=Tracker!$E10),IF((L$4-Tracker!$D10+1)/(Tracker!$E10-Tracker!$D10+1)&lt;=Tracker!$J10+0.0001,2,1),0)</f>
        <v>0</v>
      </c>
      <c r="M7" s="37">
        <f>IF(AND(M$4&gt;=Tracker!$D10,M$4&lt;=Tracker!$E10),IF((M$4-Tracker!$D10+1)/(Tracker!$E10-Tracker!$D10+1)&lt;=Tracker!$J10+0.0001,2,1),0)</f>
        <v>0</v>
      </c>
      <c r="N7" s="37">
        <f>IF(AND(N$4&gt;=Tracker!$D10,N$4&lt;=Tracker!$E10),IF((N$4-Tracker!$D10+1)/(Tracker!$E10-Tracker!$D10+1)&lt;=Tracker!$J10+0.0001,2,1),0)</f>
        <v>0</v>
      </c>
      <c r="O7" s="37">
        <f>IF(AND(O$4&gt;=Tracker!$D10,O$4&lt;=Tracker!$E10),IF((O$4-Tracker!$D10+1)/(Tracker!$E10-Tracker!$D10+1)&lt;=Tracker!$J10+0.0001,2,1),0)</f>
        <v>0</v>
      </c>
      <c r="P7" s="34">
        <f>Tracker!J10</f>
        <v>0.5</v>
      </c>
    </row>
    <row r="8" ht="21.0" customHeight="1">
      <c r="A8" s="28" t="str">
        <f>Tracker!A11</f>
        <v>T03</v>
      </c>
      <c r="B8" s="27" t="str">
        <f>Tracker!C11</f>
        <v>Login, password reset, roles and permissions</v>
      </c>
      <c r="C8" s="37">
        <f>IF(AND(C$4&gt;=Tracker!$D11,C$4&lt;=Tracker!$E11),IF((C$4-Tracker!$D11+1)/(Tracker!$E11-Tracker!$D11+1)&lt;=Tracker!$J11+0.0001,2,1),0)</f>
        <v>2</v>
      </c>
      <c r="D8" s="37">
        <f>IF(AND(D$4&gt;=Tracker!$D11,D$4&lt;=Tracker!$E11),IF((D$4-Tracker!$D11+1)/(Tracker!$E11-Tracker!$D11+1)&lt;=Tracker!$J11+0.0001,2,1),0)</f>
        <v>1</v>
      </c>
      <c r="E8" s="37">
        <f>IF(AND(E$4&gt;=Tracker!$D11,E$4&lt;=Tracker!$E11),IF((E$4-Tracker!$D11+1)/(Tracker!$E11-Tracker!$D11+1)&lt;=Tracker!$J11+0.0001,2,1),0)</f>
        <v>1</v>
      </c>
      <c r="F8" s="37">
        <f>IF(AND(F$4&gt;=Tracker!$D11,F$4&lt;=Tracker!$E11),IF((F$4-Tracker!$D11+1)/(Tracker!$E11-Tracker!$D11+1)&lt;=Tracker!$J11+0.0001,2,1),0)</f>
        <v>0</v>
      </c>
      <c r="G8" s="37">
        <f>IF(AND(G$4&gt;=Tracker!$D11,G$4&lt;=Tracker!$E11),IF((G$4-Tracker!$D11+1)/(Tracker!$E11-Tracker!$D11+1)&lt;=Tracker!$J11+0.0001,2,1),0)</f>
        <v>0</v>
      </c>
      <c r="H8" s="37">
        <f>IF(AND(H$4&gt;=Tracker!$D11,H$4&lt;=Tracker!$E11),IF((H$4-Tracker!$D11+1)/(Tracker!$E11-Tracker!$D11+1)&lt;=Tracker!$J11+0.0001,2,1),0)</f>
        <v>0</v>
      </c>
      <c r="I8" s="37">
        <f>IF(AND(I$4&gt;=Tracker!$D11,I$4&lt;=Tracker!$E11),IF((I$4-Tracker!$D11+1)/(Tracker!$E11-Tracker!$D11+1)&lt;=Tracker!$J11+0.0001,2,1),0)</f>
        <v>0</v>
      </c>
      <c r="J8" s="37">
        <f>IF(AND(J$4&gt;=Tracker!$D11,J$4&lt;=Tracker!$E11),IF((J$4-Tracker!$D11+1)/(Tracker!$E11-Tracker!$D11+1)&lt;=Tracker!$J11+0.0001,2,1),0)</f>
        <v>0</v>
      </c>
      <c r="K8" s="37">
        <f>IF(AND(K$4&gt;=Tracker!$D11,K$4&lt;=Tracker!$E11),IF((K$4-Tracker!$D11+1)/(Tracker!$E11-Tracker!$D11+1)&lt;=Tracker!$J11+0.0001,2,1),0)</f>
        <v>0</v>
      </c>
      <c r="L8" s="37">
        <f>IF(AND(L$4&gt;=Tracker!$D11,L$4&lt;=Tracker!$E11),IF((L$4-Tracker!$D11+1)/(Tracker!$E11-Tracker!$D11+1)&lt;=Tracker!$J11+0.0001,2,1),0)</f>
        <v>0</v>
      </c>
      <c r="M8" s="37">
        <f>IF(AND(M$4&gt;=Tracker!$D11,M$4&lt;=Tracker!$E11),IF((M$4-Tracker!$D11+1)/(Tracker!$E11-Tracker!$D11+1)&lt;=Tracker!$J11+0.0001,2,1),0)</f>
        <v>0</v>
      </c>
      <c r="N8" s="37">
        <f>IF(AND(N$4&gt;=Tracker!$D11,N$4&lt;=Tracker!$E11),IF((N$4-Tracker!$D11+1)/(Tracker!$E11-Tracker!$D11+1)&lt;=Tracker!$J11+0.0001,2,1),0)</f>
        <v>0</v>
      </c>
      <c r="O8" s="37">
        <f>IF(AND(O$4&gt;=Tracker!$D11,O$4&lt;=Tracker!$E11),IF((O$4-Tracker!$D11+1)/(Tracker!$E11-Tracker!$D11+1)&lt;=Tracker!$J11+0.0001,2,1),0)</f>
        <v>0</v>
      </c>
      <c r="P8" s="34">
        <f>Tracker!J11</f>
        <v>0.5</v>
      </c>
    </row>
    <row r="9" ht="21.0" customHeight="1">
      <c r="A9" s="28" t="str">
        <f>Tracker!A12</f>
        <v>T04</v>
      </c>
      <c r="B9" s="27" t="str">
        <f>Tracker!C12</f>
        <v>User accounts, access and activity logs</v>
      </c>
      <c r="C9" s="37">
        <f>IF(AND(C$4&gt;=Tracker!$D12,C$4&lt;=Tracker!$E12),IF((C$4-Tracker!$D12+1)/(Tracker!$E12-Tracker!$D12+1)&lt;=Tracker!$J12+0.0001,2,1),0)</f>
        <v>0</v>
      </c>
      <c r="D9" s="37">
        <f>IF(AND(D$4&gt;=Tracker!$D12,D$4&lt;=Tracker!$E12),IF((D$4-Tracker!$D12+1)/(Tracker!$E12-Tracker!$D12+1)&lt;=Tracker!$J12+0.0001,2,1),0)</f>
        <v>2</v>
      </c>
      <c r="E9" s="37">
        <f>IF(AND(E$4&gt;=Tracker!$D12,E$4&lt;=Tracker!$E12),IF((E$4-Tracker!$D12+1)/(Tracker!$E12-Tracker!$D12+1)&lt;=Tracker!$J12+0.0001,2,1),0)</f>
        <v>1</v>
      </c>
      <c r="F9" s="37">
        <f>IF(AND(F$4&gt;=Tracker!$D12,F$4&lt;=Tracker!$E12),IF((F$4-Tracker!$D12+1)/(Tracker!$E12-Tracker!$D12+1)&lt;=Tracker!$J12+0.0001,2,1),0)</f>
        <v>0</v>
      </c>
      <c r="G9" s="37">
        <f>IF(AND(G$4&gt;=Tracker!$D12,G$4&lt;=Tracker!$E12),IF((G$4-Tracker!$D12+1)/(Tracker!$E12-Tracker!$D12+1)&lt;=Tracker!$J12+0.0001,2,1),0)</f>
        <v>0</v>
      </c>
      <c r="H9" s="37">
        <f>IF(AND(H$4&gt;=Tracker!$D12,H$4&lt;=Tracker!$E12),IF((H$4-Tracker!$D12+1)/(Tracker!$E12-Tracker!$D12+1)&lt;=Tracker!$J12+0.0001,2,1),0)</f>
        <v>0</v>
      </c>
      <c r="I9" s="37">
        <f>IF(AND(I$4&gt;=Tracker!$D12,I$4&lt;=Tracker!$E12),IF((I$4-Tracker!$D12+1)/(Tracker!$E12-Tracker!$D12+1)&lt;=Tracker!$J12+0.0001,2,1),0)</f>
        <v>0</v>
      </c>
      <c r="J9" s="37">
        <f>IF(AND(J$4&gt;=Tracker!$D12,J$4&lt;=Tracker!$E12),IF((J$4-Tracker!$D12+1)/(Tracker!$E12-Tracker!$D12+1)&lt;=Tracker!$J12+0.0001,2,1),0)</f>
        <v>0</v>
      </c>
      <c r="K9" s="37">
        <f>IF(AND(K$4&gt;=Tracker!$D12,K$4&lt;=Tracker!$E12),IF((K$4-Tracker!$D12+1)/(Tracker!$E12-Tracker!$D12+1)&lt;=Tracker!$J12+0.0001,2,1),0)</f>
        <v>0</v>
      </c>
      <c r="L9" s="37">
        <f>IF(AND(L$4&gt;=Tracker!$D12,L$4&lt;=Tracker!$E12),IF((L$4-Tracker!$D12+1)/(Tracker!$E12-Tracker!$D12+1)&lt;=Tracker!$J12+0.0001,2,1),0)</f>
        <v>0</v>
      </c>
      <c r="M9" s="37">
        <f>IF(AND(M$4&gt;=Tracker!$D12,M$4&lt;=Tracker!$E12),IF((M$4-Tracker!$D12+1)/(Tracker!$E12-Tracker!$D12+1)&lt;=Tracker!$J12+0.0001,2,1),0)</f>
        <v>0</v>
      </c>
      <c r="N9" s="37">
        <f>IF(AND(N$4&gt;=Tracker!$D12,N$4&lt;=Tracker!$E12),IF((N$4-Tracker!$D12+1)/(Tracker!$E12-Tracker!$D12+1)&lt;=Tracker!$J12+0.0001,2,1),0)</f>
        <v>0</v>
      </c>
      <c r="O9" s="37">
        <f>IF(AND(O$4&gt;=Tracker!$D12,O$4&lt;=Tracker!$E12),IF((O$4-Tracker!$D12+1)/(Tracker!$E12-Tracker!$D12+1)&lt;=Tracker!$J12+0.0001,2,1),0)</f>
        <v>0</v>
      </c>
      <c r="P9" s="34">
        <f>Tracker!J12</f>
        <v>0.5</v>
      </c>
    </row>
    <row r="10" ht="21.0" customHeight="1">
      <c r="A10" s="28" t="str">
        <f>Tracker!A13</f>
        <v>T05</v>
      </c>
      <c r="B10" s="27" t="str">
        <f>Tracker!C13</f>
        <v>Company information, payroll settings, holidays</v>
      </c>
      <c r="C10" s="37">
        <f>IF(AND(C$4&gt;=Tracker!$D13,C$4&lt;=Tracker!$E13),IF((C$4-Tracker!$D13+1)/(Tracker!$E13-Tracker!$D13+1)&lt;=Tracker!$J13+0.0001,2,1),0)</f>
        <v>0</v>
      </c>
      <c r="D10" s="37">
        <f>IF(AND(D$4&gt;=Tracker!$D13,D$4&lt;=Tracker!$E13),IF((D$4-Tracker!$D13+1)/(Tracker!$E13-Tracker!$D13+1)&lt;=Tracker!$J13+0.0001,2,1),0)</f>
        <v>2</v>
      </c>
      <c r="E10" s="37">
        <f>IF(AND(E$4&gt;=Tracker!$D13,E$4&lt;=Tracker!$E13),IF((E$4-Tracker!$D13+1)/(Tracker!$E13-Tracker!$D13+1)&lt;=Tracker!$J13+0.0001,2,1),0)</f>
        <v>1</v>
      </c>
      <c r="F10" s="37">
        <f>IF(AND(F$4&gt;=Tracker!$D13,F$4&lt;=Tracker!$E13),IF((F$4-Tracker!$D13+1)/(Tracker!$E13-Tracker!$D13+1)&lt;=Tracker!$J13+0.0001,2,1),0)</f>
        <v>0</v>
      </c>
      <c r="G10" s="37">
        <f>IF(AND(G$4&gt;=Tracker!$D13,G$4&lt;=Tracker!$E13),IF((G$4-Tracker!$D13+1)/(Tracker!$E13-Tracker!$D13+1)&lt;=Tracker!$J13+0.0001,2,1),0)</f>
        <v>0</v>
      </c>
      <c r="H10" s="37">
        <f>IF(AND(H$4&gt;=Tracker!$D13,H$4&lt;=Tracker!$E13),IF((H$4-Tracker!$D13+1)/(Tracker!$E13-Tracker!$D13+1)&lt;=Tracker!$J13+0.0001,2,1),0)</f>
        <v>0</v>
      </c>
      <c r="I10" s="37">
        <f>IF(AND(I$4&gt;=Tracker!$D13,I$4&lt;=Tracker!$E13),IF((I$4-Tracker!$D13+1)/(Tracker!$E13-Tracker!$D13+1)&lt;=Tracker!$J13+0.0001,2,1),0)</f>
        <v>0</v>
      </c>
      <c r="J10" s="37">
        <f>IF(AND(J$4&gt;=Tracker!$D13,J$4&lt;=Tracker!$E13),IF((J$4-Tracker!$D13+1)/(Tracker!$E13-Tracker!$D13+1)&lt;=Tracker!$J13+0.0001,2,1),0)</f>
        <v>0</v>
      </c>
      <c r="K10" s="37">
        <f>IF(AND(K$4&gt;=Tracker!$D13,K$4&lt;=Tracker!$E13),IF((K$4-Tracker!$D13+1)/(Tracker!$E13-Tracker!$D13+1)&lt;=Tracker!$J13+0.0001,2,1),0)</f>
        <v>0</v>
      </c>
      <c r="L10" s="37">
        <f>IF(AND(L$4&gt;=Tracker!$D13,L$4&lt;=Tracker!$E13),IF((L$4-Tracker!$D13+1)/(Tracker!$E13-Tracker!$D13+1)&lt;=Tracker!$J13+0.0001,2,1),0)</f>
        <v>0</v>
      </c>
      <c r="M10" s="37">
        <f>IF(AND(M$4&gt;=Tracker!$D13,M$4&lt;=Tracker!$E13),IF((M$4-Tracker!$D13+1)/(Tracker!$E13-Tracker!$D13+1)&lt;=Tracker!$J13+0.0001,2,1),0)</f>
        <v>0</v>
      </c>
      <c r="N10" s="37">
        <f>IF(AND(N$4&gt;=Tracker!$D13,N$4&lt;=Tracker!$E13),IF((N$4-Tracker!$D13+1)/(Tracker!$E13-Tracker!$D13+1)&lt;=Tracker!$J13+0.0001,2,1),0)</f>
        <v>0</v>
      </c>
      <c r="O10" s="37">
        <f>IF(AND(O$4&gt;=Tracker!$D13,O$4&lt;=Tracker!$E13),IF((O$4-Tracker!$D13+1)/(Tracker!$E13-Tracker!$D13+1)&lt;=Tracker!$J13+0.0001,2,1),0)</f>
        <v>0</v>
      </c>
      <c r="P10" s="34">
        <f>Tracker!J13</f>
        <v>0.5</v>
      </c>
    </row>
    <row r="11" ht="21.0" customHeight="1">
      <c r="A11" s="28" t="str">
        <f>Tracker!A14</f>
        <v>T06</v>
      </c>
      <c r="B11" s="27" t="str">
        <f>Tracker!C14</f>
        <v>Branches and onboarding</v>
      </c>
      <c r="C11" s="37">
        <f>IF(AND(C$4&gt;=Tracker!$D14,C$4&lt;=Tracker!$E14),IF((C$4-Tracker!$D14+1)/(Tracker!$E14-Tracker!$D14+1)&lt;=Tracker!$J14+0.0001,2,1),0)</f>
        <v>0</v>
      </c>
      <c r="D11" s="37">
        <f>IF(AND(D$4&gt;=Tracker!$D14,D$4&lt;=Tracker!$E14),IF((D$4-Tracker!$D14+1)/(Tracker!$E14-Tracker!$D14+1)&lt;=Tracker!$J14+0.0001,2,1),0)</f>
        <v>0</v>
      </c>
      <c r="E11" s="37">
        <f>IF(AND(E$4&gt;=Tracker!$D14,E$4&lt;=Tracker!$E14),IF((E$4-Tracker!$D14+1)/(Tracker!$E14-Tracker!$D14+1)&lt;=Tracker!$J14+0.0001,2,1),0)</f>
        <v>1</v>
      </c>
      <c r="F11" s="37">
        <f>IF(AND(F$4&gt;=Tracker!$D14,F$4&lt;=Tracker!$E14),IF((F$4-Tracker!$D14+1)/(Tracker!$E14-Tracker!$D14+1)&lt;=Tracker!$J14+0.0001,2,1),0)</f>
        <v>0</v>
      </c>
      <c r="G11" s="37">
        <f>IF(AND(G$4&gt;=Tracker!$D14,G$4&lt;=Tracker!$E14),IF((G$4-Tracker!$D14+1)/(Tracker!$E14-Tracker!$D14+1)&lt;=Tracker!$J14+0.0001,2,1),0)</f>
        <v>0</v>
      </c>
      <c r="H11" s="37">
        <f>IF(AND(H$4&gt;=Tracker!$D14,H$4&lt;=Tracker!$E14),IF((H$4-Tracker!$D14+1)/(Tracker!$E14-Tracker!$D14+1)&lt;=Tracker!$J14+0.0001,2,1),0)</f>
        <v>0</v>
      </c>
      <c r="I11" s="37">
        <f>IF(AND(I$4&gt;=Tracker!$D14,I$4&lt;=Tracker!$E14),IF((I$4-Tracker!$D14+1)/(Tracker!$E14-Tracker!$D14+1)&lt;=Tracker!$J14+0.0001,2,1),0)</f>
        <v>0</v>
      </c>
      <c r="J11" s="37">
        <f>IF(AND(J$4&gt;=Tracker!$D14,J$4&lt;=Tracker!$E14),IF((J$4-Tracker!$D14+1)/(Tracker!$E14-Tracker!$D14+1)&lt;=Tracker!$J14+0.0001,2,1),0)</f>
        <v>0</v>
      </c>
      <c r="K11" s="37">
        <f>IF(AND(K$4&gt;=Tracker!$D14,K$4&lt;=Tracker!$E14),IF((K$4-Tracker!$D14+1)/(Tracker!$E14-Tracker!$D14+1)&lt;=Tracker!$J14+0.0001,2,1),0)</f>
        <v>0</v>
      </c>
      <c r="L11" s="37">
        <f>IF(AND(L$4&gt;=Tracker!$D14,L$4&lt;=Tracker!$E14),IF((L$4-Tracker!$D14+1)/(Tracker!$E14-Tracker!$D14+1)&lt;=Tracker!$J14+0.0001,2,1),0)</f>
        <v>0</v>
      </c>
      <c r="M11" s="37">
        <f>IF(AND(M$4&gt;=Tracker!$D14,M$4&lt;=Tracker!$E14),IF((M$4-Tracker!$D14+1)/(Tracker!$E14-Tracker!$D14+1)&lt;=Tracker!$J14+0.0001,2,1),0)</f>
        <v>0</v>
      </c>
      <c r="N11" s="37">
        <f>IF(AND(N$4&gt;=Tracker!$D14,N$4&lt;=Tracker!$E14),IF((N$4-Tracker!$D14+1)/(Tracker!$E14-Tracker!$D14+1)&lt;=Tracker!$J14+0.0001,2,1),0)</f>
        <v>0</v>
      </c>
      <c r="O11" s="37">
        <f>IF(AND(O$4&gt;=Tracker!$D14,O$4&lt;=Tracker!$E14),IF((O$4-Tracker!$D14+1)/(Tracker!$E14-Tracker!$D14+1)&lt;=Tracker!$J14+0.0001,2,1),0)</f>
        <v>0</v>
      </c>
      <c r="P11" s="34">
        <f>Tracker!J14</f>
        <v>0.5</v>
      </c>
    </row>
    <row r="12" ht="21.0" customHeight="1">
      <c r="A12" s="28" t="str">
        <f>Tracker!A15</f>
        <v>T07</v>
      </c>
      <c r="B12" s="27" t="str">
        <f>Tracker!C15</f>
        <v>Employee management (list, profile, import)</v>
      </c>
      <c r="C12" s="37">
        <f>IF(AND(C$4&gt;=Tracker!$D15,C$4&lt;=Tracker!$E15),IF((C$4-Tracker!$D15+1)/(Tracker!$E15-Tracker!$D15+1)&lt;=Tracker!$J15+0.0001,2,1),0)</f>
        <v>0</v>
      </c>
      <c r="D12" s="37">
        <f>IF(AND(D$4&gt;=Tracker!$D15,D$4&lt;=Tracker!$E15),IF((D$4-Tracker!$D15+1)/(Tracker!$E15-Tracker!$D15+1)&lt;=Tracker!$J15+0.0001,2,1),0)</f>
        <v>2</v>
      </c>
      <c r="E12" s="37">
        <f>IF(AND(E$4&gt;=Tracker!$D15,E$4&lt;=Tracker!$E15),IF((E$4-Tracker!$D15+1)/(Tracker!$E15-Tracker!$D15+1)&lt;=Tracker!$J15+0.0001,2,1),0)</f>
        <v>1</v>
      </c>
      <c r="F12" s="37">
        <f>IF(AND(F$4&gt;=Tracker!$D15,F$4&lt;=Tracker!$E15),IF((F$4-Tracker!$D15+1)/(Tracker!$E15-Tracker!$D15+1)&lt;=Tracker!$J15+0.0001,2,1),0)</f>
        <v>0</v>
      </c>
      <c r="G12" s="37">
        <f>IF(AND(G$4&gt;=Tracker!$D15,G$4&lt;=Tracker!$E15),IF((G$4-Tracker!$D15+1)/(Tracker!$E15-Tracker!$D15+1)&lt;=Tracker!$J15+0.0001,2,1),0)</f>
        <v>0</v>
      </c>
      <c r="H12" s="37">
        <f>IF(AND(H$4&gt;=Tracker!$D15,H$4&lt;=Tracker!$E15),IF((H$4-Tracker!$D15+1)/(Tracker!$E15-Tracker!$D15+1)&lt;=Tracker!$J15+0.0001,2,1),0)</f>
        <v>0</v>
      </c>
      <c r="I12" s="37">
        <f>IF(AND(I$4&gt;=Tracker!$D15,I$4&lt;=Tracker!$E15),IF((I$4-Tracker!$D15+1)/(Tracker!$E15-Tracker!$D15+1)&lt;=Tracker!$J15+0.0001,2,1),0)</f>
        <v>0</v>
      </c>
      <c r="J12" s="37">
        <f>IF(AND(J$4&gt;=Tracker!$D15,J$4&lt;=Tracker!$E15),IF((J$4-Tracker!$D15+1)/(Tracker!$E15-Tracker!$D15+1)&lt;=Tracker!$J15+0.0001,2,1),0)</f>
        <v>0</v>
      </c>
      <c r="K12" s="37">
        <f>IF(AND(K$4&gt;=Tracker!$D15,K$4&lt;=Tracker!$E15),IF((K$4-Tracker!$D15+1)/(Tracker!$E15-Tracker!$D15+1)&lt;=Tracker!$J15+0.0001,2,1),0)</f>
        <v>0</v>
      </c>
      <c r="L12" s="37">
        <f>IF(AND(L$4&gt;=Tracker!$D15,L$4&lt;=Tracker!$E15),IF((L$4-Tracker!$D15+1)/(Tracker!$E15-Tracker!$D15+1)&lt;=Tracker!$J15+0.0001,2,1),0)</f>
        <v>0</v>
      </c>
      <c r="M12" s="37">
        <f>IF(AND(M$4&gt;=Tracker!$D15,M$4&lt;=Tracker!$E15),IF((M$4-Tracker!$D15+1)/(Tracker!$E15-Tracker!$D15+1)&lt;=Tracker!$J15+0.0001,2,1),0)</f>
        <v>0</v>
      </c>
      <c r="N12" s="37">
        <f>IF(AND(N$4&gt;=Tracker!$D15,N$4&lt;=Tracker!$E15),IF((N$4-Tracker!$D15+1)/(Tracker!$E15-Tracker!$D15+1)&lt;=Tracker!$J15+0.0001,2,1),0)</f>
        <v>0</v>
      </c>
      <c r="O12" s="37">
        <f>IF(AND(O$4&gt;=Tracker!$D15,O$4&lt;=Tracker!$E15),IF((O$4-Tracker!$D15+1)/(Tracker!$E15-Tracker!$D15+1)&lt;=Tracker!$J15+0.0001,2,1),0)</f>
        <v>0</v>
      </c>
      <c r="P12" s="34">
        <f>Tracker!J15</f>
        <v>0.5</v>
      </c>
    </row>
    <row r="13" ht="21.0" customHeight="1">
      <c r="A13" s="28" t="str">
        <f>Tracker!A16</f>
        <v>T08</v>
      </c>
      <c r="B13" s="27" t="str">
        <f>Tracker!C16</f>
        <v>Attendance, adjustments and biometrics</v>
      </c>
      <c r="C13" s="37">
        <f>IF(AND(C$4&gt;=Tracker!$D16,C$4&lt;=Tracker!$E16),IF((C$4-Tracker!$D16+1)/(Tracker!$E16-Tracker!$D16+1)&lt;=Tracker!$J16+0.0001,2,1),0)</f>
        <v>0</v>
      </c>
      <c r="D13" s="37">
        <f>IF(AND(D$4&gt;=Tracker!$D16,D$4&lt;=Tracker!$E16),IF((D$4-Tracker!$D16+1)/(Tracker!$E16-Tracker!$D16+1)&lt;=Tracker!$J16+0.0001,2,1),0)</f>
        <v>0</v>
      </c>
      <c r="E13" s="37">
        <f>IF(AND(E$4&gt;=Tracker!$D16,E$4&lt;=Tracker!$E16),IF((E$4-Tracker!$D16+1)/(Tracker!$E16-Tracker!$D16+1)&lt;=Tracker!$J16+0.0001,2,1),0)</f>
        <v>2</v>
      </c>
      <c r="F13" s="37">
        <f>IF(AND(F$4&gt;=Tracker!$D16,F$4&lt;=Tracker!$E16),IF((F$4-Tracker!$D16+1)/(Tracker!$E16-Tracker!$D16+1)&lt;=Tracker!$J16+0.0001,2,1),0)</f>
        <v>1</v>
      </c>
      <c r="G13" s="37">
        <f>IF(AND(G$4&gt;=Tracker!$D16,G$4&lt;=Tracker!$E16),IF((G$4-Tracker!$D16+1)/(Tracker!$E16-Tracker!$D16+1)&lt;=Tracker!$J16+0.0001,2,1),0)</f>
        <v>0</v>
      </c>
      <c r="H13" s="37">
        <f>IF(AND(H$4&gt;=Tracker!$D16,H$4&lt;=Tracker!$E16),IF((H$4-Tracker!$D16+1)/(Tracker!$E16-Tracker!$D16+1)&lt;=Tracker!$J16+0.0001,2,1),0)</f>
        <v>0</v>
      </c>
      <c r="I13" s="37">
        <f>IF(AND(I$4&gt;=Tracker!$D16,I$4&lt;=Tracker!$E16),IF((I$4-Tracker!$D16+1)/(Tracker!$E16-Tracker!$D16+1)&lt;=Tracker!$J16+0.0001,2,1),0)</f>
        <v>0</v>
      </c>
      <c r="J13" s="37">
        <f>IF(AND(J$4&gt;=Tracker!$D16,J$4&lt;=Tracker!$E16),IF((J$4-Tracker!$D16+1)/(Tracker!$E16-Tracker!$D16+1)&lt;=Tracker!$J16+0.0001,2,1),0)</f>
        <v>0</v>
      </c>
      <c r="K13" s="37">
        <f>IF(AND(K$4&gt;=Tracker!$D16,K$4&lt;=Tracker!$E16),IF((K$4-Tracker!$D16+1)/(Tracker!$E16-Tracker!$D16+1)&lt;=Tracker!$J16+0.0001,2,1),0)</f>
        <v>0</v>
      </c>
      <c r="L13" s="37">
        <f>IF(AND(L$4&gt;=Tracker!$D16,L$4&lt;=Tracker!$E16),IF((L$4-Tracker!$D16+1)/(Tracker!$E16-Tracker!$D16+1)&lt;=Tracker!$J16+0.0001,2,1),0)</f>
        <v>0</v>
      </c>
      <c r="M13" s="37">
        <f>IF(AND(M$4&gt;=Tracker!$D16,M$4&lt;=Tracker!$E16),IF((M$4-Tracker!$D16+1)/(Tracker!$E16-Tracker!$D16+1)&lt;=Tracker!$J16+0.0001,2,1),0)</f>
        <v>0</v>
      </c>
      <c r="N13" s="37">
        <f>IF(AND(N$4&gt;=Tracker!$D16,N$4&lt;=Tracker!$E16),IF((N$4-Tracker!$D16+1)/(Tracker!$E16-Tracker!$D16+1)&lt;=Tracker!$J16+0.0001,2,1),0)</f>
        <v>0</v>
      </c>
      <c r="O13" s="37">
        <f>IF(AND(O$4&gt;=Tracker!$D16,O$4&lt;=Tracker!$E16),IF((O$4-Tracker!$D16+1)/(Tracker!$E16-Tracker!$D16+1)&lt;=Tracker!$J16+0.0001,2,1),0)</f>
        <v>0</v>
      </c>
      <c r="P13" s="34">
        <f>Tracker!J16</f>
        <v>0.5</v>
      </c>
    </row>
    <row r="14" ht="21.0" customHeight="1">
      <c r="A14" s="28" t="str">
        <f>Tracker!A17</f>
        <v>T09</v>
      </c>
      <c r="B14" s="27" t="str">
        <f>Tracker!C17</f>
        <v>Schedules (roster, teams, shift templates)</v>
      </c>
      <c r="C14" s="37">
        <f>IF(AND(C$4&gt;=Tracker!$D17,C$4&lt;=Tracker!$E17),IF((C$4-Tracker!$D17+1)/(Tracker!$E17-Tracker!$D17+1)&lt;=Tracker!$J17+0.0001,2,1),0)</f>
        <v>0</v>
      </c>
      <c r="D14" s="37">
        <f>IF(AND(D$4&gt;=Tracker!$D17,D$4&lt;=Tracker!$E17),IF((D$4-Tracker!$D17+1)/(Tracker!$E17-Tracker!$D17+1)&lt;=Tracker!$J17+0.0001,2,1),0)</f>
        <v>0</v>
      </c>
      <c r="E14" s="37">
        <f>IF(AND(E$4&gt;=Tracker!$D17,E$4&lt;=Tracker!$E17),IF((E$4-Tracker!$D17+1)/(Tracker!$E17-Tracker!$D17+1)&lt;=Tracker!$J17+0.0001,2,1),0)</f>
        <v>2</v>
      </c>
      <c r="F14" s="37">
        <f>IF(AND(F$4&gt;=Tracker!$D17,F$4&lt;=Tracker!$E17),IF((F$4-Tracker!$D17+1)/(Tracker!$E17-Tracker!$D17+1)&lt;=Tracker!$J17+0.0001,2,1),0)</f>
        <v>1</v>
      </c>
      <c r="G14" s="37">
        <f>IF(AND(G$4&gt;=Tracker!$D17,G$4&lt;=Tracker!$E17),IF((G$4-Tracker!$D17+1)/(Tracker!$E17-Tracker!$D17+1)&lt;=Tracker!$J17+0.0001,2,1),0)</f>
        <v>0</v>
      </c>
      <c r="H14" s="37">
        <f>IF(AND(H$4&gt;=Tracker!$D17,H$4&lt;=Tracker!$E17),IF((H$4-Tracker!$D17+1)/(Tracker!$E17-Tracker!$D17+1)&lt;=Tracker!$J17+0.0001,2,1),0)</f>
        <v>0</v>
      </c>
      <c r="I14" s="37">
        <f>IF(AND(I$4&gt;=Tracker!$D17,I$4&lt;=Tracker!$E17),IF((I$4-Tracker!$D17+1)/(Tracker!$E17-Tracker!$D17+1)&lt;=Tracker!$J17+0.0001,2,1),0)</f>
        <v>0</v>
      </c>
      <c r="J14" s="37">
        <f>IF(AND(J$4&gt;=Tracker!$D17,J$4&lt;=Tracker!$E17),IF((J$4-Tracker!$D17+1)/(Tracker!$E17-Tracker!$D17+1)&lt;=Tracker!$J17+0.0001,2,1),0)</f>
        <v>0</v>
      </c>
      <c r="K14" s="37">
        <f>IF(AND(K$4&gt;=Tracker!$D17,K$4&lt;=Tracker!$E17),IF((K$4-Tracker!$D17+1)/(Tracker!$E17-Tracker!$D17+1)&lt;=Tracker!$J17+0.0001,2,1),0)</f>
        <v>0</v>
      </c>
      <c r="L14" s="37">
        <f>IF(AND(L$4&gt;=Tracker!$D17,L$4&lt;=Tracker!$E17),IF((L$4-Tracker!$D17+1)/(Tracker!$E17-Tracker!$D17+1)&lt;=Tracker!$J17+0.0001,2,1),0)</f>
        <v>0</v>
      </c>
      <c r="M14" s="37">
        <f>IF(AND(M$4&gt;=Tracker!$D17,M$4&lt;=Tracker!$E17),IF((M$4-Tracker!$D17+1)/(Tracker!$E17-Tracker!$D17+1)&lt;=Tracker!$J17+0.0001,2,1),0)</f>
        <v>0</v>
      </c>
      <c r="N14" s="37">
        <f>IF(AND(N$4&gt;=Tracker!$D17,N$4&lt;=Tracker!$E17),IF((N$4-Tracker!$D17+1)/(Tracker!$E17-Tracker!$D17+1)&lt;=Tracker!$J17+0.0001,2,1),0)</f>
        <v>0</v>
      </c>
      <c r="O14" s="37">
        <f>IF(AND(O$4&gt;=Tracker!$D17,O$4&lt;=Tracker!$E17),IF((O$4-Tracker!$D17+1)/(Tracker!$E17-Tracker!$D17+1)&lt;=Tracker!$J17+0.0001,2,1),0)</f>
        <v>0</v>
      </c>
      <c r="P14" s="34">
        <f>Tracker!J17</f>
        <v>0.5</v>
      </c>
    </row>
    <row r="15" ht="21.0" customHeight="1">
      <c r="A15" s="28" t="str">
        <f>Tracker!A18</f>
        <v>T10</v>
      </c>
      <c r="B15" s="27" t="str">
        <f>Tracker!C18</f>
        <v>Leave types, requests, approvals and balances</v>
      </c>
      <c r="C15" s="37">
        <f>IF(AND(C$4&gt;=Tracker!$D18,C$4&lt;=Tracker!$E18),IF((C$4-Tracker!$D18+1)/(Tracker!$E18-Tracker!$D18+1)&lt;=Tracker!$J18+0.0001,2,1),0)</f>
        <v>0</v>
      </c>
      <c r="D15" s="37">
        <f>IF(AND(D$4&gt;=Tracker!$D18,D$4&lt;=Tracker!$E18),IF((D$4-Tracker!$D18+1)/(Tracker!$E18-Tracker!$D18+1)&lt;=Tracker!$J18+0.0001,2,1),0)</f>
        <v>0</v>
      </c>
      <c r="E15" s="37">
        <f>IF(AND(E$4&gt;=Tracker!$D18,E$4&lt;=Tracker!$E18),IF((E$4-Tracker!$D18+1)/(Tracker!$E18-Tracker!$D18+1)&lt;=Tracker!$J18+0.0001,2,1),0)</f>
        <v>0</v>
      </c>
      <c r="F15" s="37">
        <f>IF(AND(F$4&gt;=Tracker!$D18,F$4&lt;=Tracker!$E18),IF((F$4-Tracker!$D18+1)/(Tracker!$E18-Tracker!$D18+1)&lt;=Tracker!$J18+0.0001,2,1),0)</f>
        <v>2</v>
      </c>
      <c r="G15" s="37">
        <f>IF(AND(G$4&gt;=Tracker!$D18,G$4&lt;=Tracker!$E18),IF((G$4-Tracker!$D18+1)/(Tracker!$E18-Tracker!$D18+1)&lt;=Tracker!$J18+0.0001,2,1),0)</f>
        <v>1</v>
      </c>
      <c r="H15" s="37">
        <f>IF(AND(H$4&gt;=Tracker!$D18,H$4&lt;=Tracker!$E18),IF((H$4-Tracker!$D18+1)/(Tracker!$E18-Tracker!$D18+1)&lt;=Tracker!$J18+0.0001,2,1),0)</f>
        <v>0</v>
      </c>
      <c r="I15" s="37">
        <f>IF(AND(I$4&gt;=Tracker!$D18,I$4&lt;=Tracker!$E18),IF((I$4-Tracker!$D18+1)/(Tracker!$E18-Tracker!$D18+1)&lt;=Tracker!$J18+0.0001,2,1),0)</f>
        <v>0</v>
      </c>
      <c r="J15" s="37">
        <f>IF(AND(J$4&gt;=Tracker!$D18,J$4&lt;=Tracker!$E18),IF((J$4-Tracker!$D18+1)/(Tracker!$E18-Tracker!$D18+1)&lt;=Tracker!$J18+0.0001,2,1),0)</f>
        <v>0</v>
      </c>
      <c r="K15" s="37">
        <f>IF(AND(K$4&gt;=Tracker!$D18,K$4&lt;=Tracker!$E18),IF((K$4-Tracker!$D18+1)/(Tracker!$E18-Tracker!$D18+1)&lt;=Tracker!$J18+0.0001,2,1),0)</f>
        <v>0</v>
      </c>
      <c r="L15" s="37">
        <f>IF(AND(L$4&gt;=Tracker!$D18,L$4&lt;=Tracker!$E18),IF((L$4-Tracker!$D18+1)/(Tracker!$E18-Tracker!$D18+1)&lt;=Tracker!$J18+0.0001,2,1),0)</f>
        <v>0</v>
      </c>
      <c r="M15" s="37">
        <f>IF(AND(M$4&gt;=Tracker!$D18,M$4&lt;=Tracker!$E18),IF((M$4-Tracker!$D18+1)/(Tracker!$E18-Tracker!$D18+1)&lt;=Tracker!$J18+0.0001,2,1),0)</f>
        <v>0</v>
      </c>
      <c r="N15" s="37">
        <f>IF(AND(N$4&gt;=Tracker!$D18,N$4&lt;=Tracker!$E18),IF((N$4-Tracker!$D18+1)/(Tracker!$E18-Tracker!$D18+1)&lt;=Tracker!$J18+0.0001,2,1),0)</f>
        <v>0</v>
      </c>
      <c r="O15" s="37">
        <f>IF(AND(O$4&gt;=Tracker!$D18,O$4&lt;=Tracker!$E18),IF((O$4-Tracker!$D18+1)/(Tracker!$E18-Tracker!$D18+1)&lt;=Tracker!$J18+0.0001,2,1),0)</f>
        <v>0</v>
      </c>
      <c r="P15" s="34">
        <f>Tracker!J18</f>
        <v>0.5</v>
      </c>
    </row>
    <row r="16" ht="21.0" customHeight="1">
      <c r="A16" s="28" t="str">
        <f>Tracker!A19</f>
        <v>T11</v>
      </c>
      <c r="B16" s="27" t="str">
        <f>Tracker!C19</f>
        <v>Overtime and night differential</v>
      </c>
      <c r="C16" s="37">
        <f>IF(AND(C$4&gt;=Tracker!$D19,C$4&lt;=Tracker!$E19),IF((C$4-Tracker!$D19+1)/(Tracker!$E19-Tracker!$D19+1)&lt;=Tracker!$J19+0.0001,2,1),0)</f>
        <v>0</v>
      </c>
      <c r="D16" s="37">
        <f>IF(AND(D$4&gt;=Tracker!$D19,D$4&lt;=Tracker!$E19),IF((D$4-Tracker!$D19+1)/(Tracker!$E19-Tracker!$D19+1)&lt;=Tracker!$J19+0.0001,2,1),0)</f>
        <v>0</v>
      </c>
      <c r="E16" s="37">
        <f>IF(AND(E$4&gt;=Tracker!$D19,E$4&lt;=Tracker!$E19),IF((E$4-Tracker!$D19+1)/(Tracker!$E19-Tracker!$D19+1)&lt;=Tracker!$J19+0.0001,2,1),0)</f>
        <v>0</v>
      </c>
      <c r="F16" s="37">
        <f>IF(AND(F$4&gt;=Tracker!$D19,F$4&lt;=Tracker!$E19),IF((F$4-Tracker!$D19+1)/(Tracker!$E19-Tracker!$D19+1)&lt;=Tracker!$J19+0.0001,2,1),0)</f>
        <v>2</v>
      </c>
      <c r="G16" s="37">
        <f>IF(AND(G$4&gt;=Tracker!$D19,G$4&lt;=Tracker!$E19),IF((G$4-Tracker!$D19+1)/(Tracker!$E19-Tracker!$D19+1)&lt;=Tracker!$J19+0.0001,2,1),0)</f>
        <v>1</v>
      </c>
      <c r="H16" s="37">
        <f>IF(AND(H$4&gt;=Tracker!$D19,H$4&lt;=Tracker!$E19),IF((H$4-Tracker!$D19+1)/(Tracker!$E19-Tracker!$D19+1)&lt;=Tracker!$J19+0.0001,2,1),0)</f>
        <v>0</v>
      </c>
      <c r="I16" s="37">
        <f>IF(AND(I$4&gt;=Tracker!$D19,I$4&lt;=Tracker!$E19),IF((I$4-Tracker!$D19+1)/(Tracker!$E19-Tracker!$D19+1)&lt;=Tracker!$J19+0.0001,2,1),0)</f>
        <v>0</v>
      </c>
      <c r="J16" s="37">
        <f>IF(AND(J$4&gt;=Tracker!$D19,J$4&lt;=Tracker!$E19),IF((J$4-Tracker!$D19+1)/(Tracker!$E19-Tracker!$D19+1)&lt;=Tracker!$J19+0.0001,2,1),0)</f>
        <v>0</v>
      </c>
      <c r="K16" s="37">
        <f>IF(AND(K$4&gt;=Tracker!$D19,K$4&lt;=Tracker!$E19),IF((K$4-Tracker!$D19+1)/(Tracker!$E19-Tracker!$D19+1)&lt;=Tracker!$J19+0.0001,2,1),0)</f>
        <v>0</v>
      </c>
      <c r="L16" s="37">
        <f>IF(AND(L$4&gt;=Tracker!$D19,L$4&lt;=Tracker!$E19),IF((L$4-Tracker!$D19+1)/(Tracker!$E19-Tracker!$D19+1)&lt;=Tracker!$J19+0.0001,2,1),0)</f>
        <v>0</v>
      </c>
      <c r="M16" s="37">
        <f>IF(AND(M$4&gt;=Tracker!$D19,M$4&lt;=Tracker!$E19),IF((M$4-Tracker!$D19+1)/(Tracker!$E19-Tracker!$D19+1)&lt;=Tracker!$J19+0.0001,2,1),0)</f>
        <v>0</v>
      </c>
      <c r="N16" s="37">
        <f>IF(AND(N$4&gt;=Tracker!$D19,N$4&lt;=Tracker!$E19),IF((N$4-Tracker!$D19+1)/(Tracker!$E19-Tracker!$D19+1)&lt;=Tracker!$J19+0.0001,2,1),0)</f>
        <v>0</v>
      </c>
      <c r="O16" s="37">
        <f>IF(AND(O$4&gt;=Tracker!$D19,O$4&lt;=Tracker!$E19),IF((O$4-Tracker!$D19+1)/(Tracker!$E19-Tracker!$D19+1)&lt;=Tracker!$J19+0.0001,2,1),0)</f>
        <v>0</v>
      </c>
      <c r="P16" s="34">
        <f>Tracker!J19</f>
        <v>0.5</v>
      </c>
    </row>
    <row r="17" ht="21.0" customHeight="1">
      <c r="A17" s="28" t="str">
        <f>Tracker!A20</f>
        <v>T12</v>
      </c>
      <c r="B17" s="27" t="str">
        <f>Tracker!C20</f>
        <v>Hourly and output compensation approvals</v>
      </c>
      <c r="C17" s="37">
        <f>IF(AND(C$4&gt;=Tracker!$D20,C$4&lt;=Tracker!$E20),IF((C$4-Tracker!$D20+1)/(Tracker!$E20-Tracker!$D20+1)&lt;=Tracker!$J20+0.0001,2,1),0)</f>
        <v>0</v>
      </c>
      <c r="D17" s="37">
        <f>IF(AND(D$4&gt;=Tracker!$D20,D$4&lt;=Tracker!$E20),IF((D$4-Tracker!$D20+1)/(Tracker!$E20-Tracker!$D20+1)&lt;=Tracker!$J20+0.0001,2,1),0)</f>
        <v>0</v>
      </c>
      <c r="E17" s="37">
        <f>IF(AND(E$4&gt;=Tracker!$D20,E$4&lt;=Tracker!$E20),IF((E$4-Tracker!$D20+1)/(Tracker!$E20-Tracker!$D20+1)&lt;=Tracker!$J20+0.0001,2,1),0)</f>
        <v>0</v>
      </c>
      <c r="F17" s="37">
        <f>IF(AND(F$4&gt;=Tracker!$D20,F$4&lt;=Tracker!$E20),IF((F$4-Tracker!$D20+1)/(Tracker!$E20-Tracker!$D20+1)&lt;=Tracker!$J20+0.0001,2,1),0)</f>
        <v>0</v>
      </c>
      <c r="G17" s="37">
        <f>IF(AND(G$4&gt;=Tracker!$D20,G$4&lt;=Tracker!$E20),IF((G$4-Tracker!$D20+1)/(Tracker!$E20-Tracker!$D20+1)&lt;=Tracker!$J20+0.0001,2,1),0)</f>
        <v>2</v>
      </c>
      <c r="H17" s="37">
        <f>IF(AND(H$4&gt;=Tracker!$D20,H$4&lt;=Tracker!$E20),IF((H$4-Tracker!$D20+1)/(Tracker!$E20-Tracker!$D20+1)&lt;=Tracker!$J20+0.0001,2,1),0)</f>
        <v>1</v>
      </c>
      <c r="I17" s="37">
        <f>IF(AND(I$4&gt;=Tracker!$D20,I$4&lt;=Tracker!$E20),IF((I$4-Tracker!$D20+1)/(Tracker!$E20-Tracker!$D20+1)&lt;=Tracker!$J20+0.0001,2,1),0)</f>
        <v>0</v>
      </c>
      <c r="J17" s="37">
        <f>IF(AND(J$4&gt;=Tracker!$D20,J$4&lt;=Tracker!$E20),IF((J$4-Tracker!$D20+1)/(Tracker!$E20-Tracker!$D20+1)&lt;=Tracker!$J20+0.0001,2,1),0)</f>
        <v>0</v>
      </c>
      <c r="K17" s="37">
        <f>IF(AND(K$4&gt;=Tracker!$D20,K$4&lt;=Tracker!$E20),IF((K$4-Tracker!$D20+1)/(Tracker!$E20-Tracker!$D20+1)&lt;=Tracker!$J20+0.0001,2,1),0)</f>
        <v>0</v>
      </c>
      <c r="L17" s="37">
        <f>IF(AND(L$4&gt;=Tracker!$D20,L$4&lt;=Tracker!$E20),IF((L$4-Tracker!$D20+1)/(Tracker!$E20-Tracker!$D20+1)&lt;=Tracker!$J20+0.0001,2,1),0)</f>
        <v>0</v>
      </c>
      <c r="M17" s="37">
        <f>IF(AND(M$4&gt;=Tracker!$D20,M$4&lt;=Tracker!$E20),IF((M$4-Tracker!$D20+1)/(Tracker!$E20-Tracker!$D20+1)&lt;=Tracker!$J20+0.0001,2,1),0)</f>
        <v>0</v>
      </c>
      <c r="N17" s="37">
        <f>IF(AND(N$4&gt;=Tracker!$D20,N$4&lt;=Tracker!$E20),IF((N$4-Tracker!$D20+1)/(Tracker!$E20-Tracker!$D20+1)&lt;=Tracker!$J20+0.0001,2,1),0)</f>
        <v>0</v>
      </c>
      <c r="O17" s="37">
        <f>IF(AND(O$4&gt;=Tracker!$D20,O$4&lt;=Tracker!$E20),IF((O$4-Tracker!$D20+1)/(Tracker!$E20-Tracker!$D20+1)&lt;=Tracker!$J20+0.0001,2,1),0)</f>
        <v>0</v>
      </c>
      <c r="P17" s="34">
        <f>Tracker!J20</f>
        <v>0.5</v>
      </c>
    </row>
    <row r="18" ht="21.0" customHeight="1">
      <c r="A18" s="28" t="str">
        <f>Tracker!A21</f>
        <v>T13</v>
      </c>
      <c r="B18" s="27" t="str">
        <f>Tracker!C21</f>
        <v>Benefits, loans and deductions</v>
      </c>
      <c r="C18" s="37">
        <f>IF(AND(C$4&gt;=Tracker!$D21,C$4&lt;=Tracker!$E21),IF((C$4-Tracker!$D21+1)/(Tracker!$E21-Tracker!$D21+1)&lt;=Tracker!$J21+0.0001,2,1),0)</f>
        <v>0</v>
      </c>
      <c r="D18" s="37">
        <f>IF(AND(D$4&gt;=Tracker!$D21,D$4&lt;=Tracker!$E21),IF((D$4-Tracker!$D21+1)/(Tracker!$E21-Tracker!$D21+1)&lt;=Tracker!$J21+0.0001,2,1),0)</f>
        <v>0</v>
      </c>
      <c r="E18" s="37">
        <f>IF(AND(E$4&gt;=Tracker!$D21,E$4&lt;=Tracker!$E21),IF((E$4-Tracker!$D21+1)/(Tracker!$E21-Tracker!$D21+1)&lt;=Tracker!$J21+0.0001,2,1),0)</f>
        <v>0</v>
      </c>
      <c r="F18" s="37">
        <f>IF(AND(F$4&gt;=Tracker!$D21,F$4&lt;=Tracker!$E21),IF((F$4-Tracker!$D21+1)/(Tracker!$E21-Tracker!$D21+1)&lt;=Tracker!$J21+0.0001,2,1),0)</f>
        <v>0</v>
      </c>
      <c r="G18" s="37">
        <f>IF(AND(G$4&gt;=Tracker!$D21,G$4&lt;=Tracker!$E21),IF((G$4-Tracker!$D21+1)/(Tracker!$E21-Tracker!$D21+1)&lt;=Tracker!$J21+0.0001,2,1),0)</f>
        <v>2</v>
      </c>
      <c r="H18" s="37">
        <f>IF(AND(H$4&gt;=Tracker!$D21,H$4&lt;=Tracker!$E21),IF((H$4-Tracker!$D21+1)/(Tracker!$E21-Tracker!$D21+1)&lt;=Tracker!$J21+0.0001,2,1),0)</f>
        <v>1</v>
      </c>
      <c r="I18" s="37">
        <f>IF(AND(I$4&gt;=Tracker!$D21,I$4&lt;=Tracker!$E21),IF((I$4-Tracker!$D21+1)/(Tracker!$E21-Tracker!$D21+1)&lt;=Tracker!$J21+0.0001,2,1),0)</f>
        <v>0</v>
      </c>
      <c r="J18" s="37">
        <f>IF(AND(J$4&gt;=Tracker!$D21,J$4&lt;=Tracker!$E21),IF((J$4-Tracker!$D21+1)/(Tracker!$E21-Tracker!$D21+1)&lt;=Tracker!$J21+0.0001,2,1),0)</f>
        <v>0</v>
      </c>
      <c r="K18" s="37">
        <f>IF(AND(K$4&gt;=Tracker!$D21,K$4&lt;=Tracker!$E21),IF((K$4-Tracker!$D21+1)/(Tracker!$E21-Tracker!$D21+1)&lt;=Tracker!$J21+0.0001,2,1),0)</f>
        <v>0</v>
      </c>
      <c r="L18" s="37">
        <f>IF(AND(L$4&gt;=Tracker!$D21,L$4&lt;=Tracker!$E21),IF((L$4-Tracker!$D21+1)/(Tracker!$E21-Tracker!$D21+1)&lt;=Tracker!$J21+0.0001,2,1),0)</f>
        <v>0</v>
      </c>
      <c r="M18" s="37">
        <f>IF(AND(M$4&gt;=Tracker!$D21,M$4&lt;=Tracker!$E21),IF((M$4-Tracker!$D21+1)/(Tracker!$E21-Tracker!$D21+1)&lt;=Tracker!$J21+0.0001,2,1),0)</f>
        <v>0</v>
      </c>
      <c r="N18" s="37">
        <f>IF(AND(N$4&gt;=Tracker!$D21,N$4&lt;=Tracker!$E21),IF((N$4-Tracker!$D21+1)/(Tracker!$E21-Tracker!$D21+1)&lt;=Tracker!$J21+0.0001,2,1),0)</f>
        <v>0</v>
      </c>
      <c r="O18" s="37">
        <f>IF(AND(O$4&gt;=Tracker!$D21,O$4&lt;=Tracker!$E21),IF((O$4-Tracker!$D21+1)/(Tracker!$E21-Tracker!$D21+1)&lt;=Tracker!$J21+0.0001,2,1),0)</f>
        <v>0</v>
      </c>
      <c r="P18" s="34">
        <f>Tracker!J21</f>
        <v>0.5</v>
      </c>
    </row>
    <row r="19" ht="21.0" customHeight="1">
      <c r="A19" s="28" t="str">
        <f>Tracker!A22</f>
        <v>T14</v>
      </c>
      <c r="B19" s="27" t="str">
        <f>Tracker!C22</f>
        <v>Payroll computation, runs and approvals</v>
      </c>
      <c r="C19" s="37">
        <f>IF(AND(C$4&gt;=Tracker!$D22,C$4&lt;=Tracker!$E22),IF((C$4-Tracker!$D22+1)/(Tracker!$E22-Tracker!$D22+1)&lt;=Tracker!$J22+0.0001,2,1),0)</f>
        <v>0</v>
      </c>
      <c r="D19" s="37">
        <f>IF(AND(D$4&gt;=Tracker!$D22,D$4&lt;=Tracker!$E22),IF((D$4-Tracker!$D22+1)/(Tracker!$E22-Tracker!$D22+1)&lt;=Tracker!$J22+0.0001,2,1),0)</f>
        <v>0</v>
      </c>
      <c r="E19" s="37">
        <f>IF(AND(E$4&gt;=Tracker!$D22,E$4&lt;=Tracker!$E22),IF((E$4-Tracker!$D22+1)/(Tracker!$E22-Tracker!$D22+1)&lt;=Tracker!$J22+0.0001,2,1),0)</f>
        <v>0</v>
      </c>
      <c r="F19" s="37">
        <f>IF(AND(F$4&gt;=Tracker!$D22,F$4&lt;=Tracker!$E22),IF((F$4-Tracker!$D22+1)/(Tracker!$E22-Tracker!$D22+1)&lt;=Tracker!$J22+0.0001,2,1),0)</f>
        <v>0</v>
      </c>
      <c r="G19" s="37">
        <f>IF(AND(G$4&gt;=Tracker!$D22,G$4&lt;=Tracker!$E22),IF((G$4-Tracker!$D22+1)/(Tracker!$E22-Tracker!$D22+1)&lt;=Tracker!$J22+0.0001,2,1),0)</f>
        <v>2</v>
      </c>
      <c r="H19" s="37">
        <f>IF(AND(H$4&gt;=Tracker!$D22,H$4&lt;=Tracker!$E22),IF((H$4-Tracker!$D22+1)/(Tracker!$E22-Tracker!$D22+1)&lt;=Tracker!$J22+0.0001,2,1),0)</f>
        <v>2</v>
      </c>
      <c r="I19" s="37">
        <f>IF(AND(I$4&gt;=Tracker!$D22,I$4&lt;=Tracker!$E22),IF((I$4-Tracker!$D22+1)/(Tracker!$E22-Tracker!$D22+1)&lt;=Tracker!$J22+0.0001,2,1),0)</f>
        <v>1</v>
      </c>
      <c r="J19" s="37">
        <f>IF(AND(J$4&gt;=Tracker!$D22,J$4&lt;=Tracker!$E22),IF((J$4-Tracker!$D22+1)/(Tracker!$E22-Tracker!$D22+1)&lt;=Tracker!$J22+0.0001,2,1),0)</f>
        <v>1</v>
      </c>
      <c r="K19" s="37">
        <f>IF(AND(K$4&gt;=Tracker!$D22,K$4&lt;=Tracker!$E22),IF((K$4-Tracker!$D22+1)/(Tracker!$E22-Tracker!$D22+1)&lt;=Tracker!$J22+0.0001,2,1),0)</f>
        <v>0</v>
      </c>
      <c r="L19" s="37">
        <f>IF(AND(L$4&gt;=Tracker!$D22,L$4&lt;=Tracker!$E22),IF((L$4-Tracker!$D22+1)/(Tracker!$E22-Tracker!$D22+1)&lt;=Tracker!$J22+0.0001,2,1),0)</f>
        <v>0</v>
      </c>
      <c r="M19" s="37">
        <f>IF(AND(M$4&gt;=Tracker!$D22,M$4&lt;=Tracker!$E22),IF((M$4-Tracker!$D22+1)/(Tracker!$E22-Tracker!$D22+1)&lt;=Tracker!$J22+0.0001,2,1),0)</f>
        <v>0</v>
      </c>
      <c r="N19" s="37">
        <f>IF(AND(N$4&gt;=Tracker!$D22,N$4&lt;=Tracker!$E22),IF((N$4-Tracker!$D22+1)/(Tracker!$E22-Tracker!$D22+1)&lt;=Tracker!$J22+0.0001,2,1),0)</f>
        <v>0</v>
      </c>
      <c r="O19" s="37">
        <f>IF(AND(O$4&gt;=Tracker!$D22,O$4&lt;=Tracker!$E22),IF((O$4-Tracker!$D22+1)/(Tracker!$E22-Tracker!$D22+1)&lt;=Tracker!$J22+0.0001,2,1),0)</f>
        <v>0</v>
      </c>
      <c r="P19" s="34">
        <f>Tracker!J22</f>
        <v>0.5</v>
      </c>
    </row>
    <row r="20" ht="21.0" customHeight="1">
      <c r="A20" s="28" t="str">
        <f>Tracker!A23</f>
        <v>T15</v>
      </c>
      <c r="B20" s="27" t="str">
        <f>Tracker!C23</f>
        <v>Payslips (admin and employee views, email)</v>
      </c>
      <c r="C20" s="37">
        <f>IF(AND(C$4&gt;=Tracker!$D23,C$4&lt;=Tracker!$E23),IF((C$4-Tracker!$D23+1)/(Tracker!$E23-Tracker!$D23+1)&lt;=Tracker!$J23+0.0001,2,1),0)</f>
        <v>0</v>
      </c>
      <c r="D20" s="37">
        <f>IF(AND(D$4&gt;=Tracker!$D23,D$4&lt;=Tracker!$E23),IF((D$4-Tracker!$D23+1)/(Tracker!$E23-Tracker!$D23+1)&lt;=Tracker!$J23+0.0001,2,1),0)</f>
        <v>0</v>
      </c>
      <c r="E20" s="37">
        <f>IF(AND(E$4&gt;=Tracker!$D23,E$4&lt;=Tracker!$E23),IF((E$4-Tracker!$D23+1)/(Tracker!$E23-Tracker!$D23+1)&lt;=Tracker!$J23+0.0001,2,1),0)</f>
        <v>0</v>
      </c>
      <c r="F20" s="37">
        <f>IF(AND(F$4&gt;=Tracker!$D23,F$4&lt;=Tracker!$E23),IF((F$4-Tracker!$D23+1)/(Tracker!$E23-Tracker!$D23+1)&lt;=Tracker!$J23+0.0001,2,1),0)</f>
        <v>0</v>
      </c>
      <c r="G20" s="37">
        <f>IF(AND(G$4&gt;=Tracker!$D23,G$4&lt;=Tracker!$E23),IF((G$4-Tracker!$D23+1)/(Tracker!$E23-Tracker!$D23+1)&lt;=Tracker!$J23+0.0001,2,1),0)</f>
        <v>0</v>
      </c>
      <c r="H20" s="37">
        <f>IF(AND(H$4&gt;=Tracker!$D23,H$4&lt;=Tracker!$E23),IF((H$4-Tracker!$D23+1)/(Tracker!$E23-Tracker!$D23+1)&lt;=Tracker!$J23+0.0001,2,1),0)</f>
        <v>0</v>
      </c>
      <c r="I20" s="37">
        <f>IF(AND(I$4&gt;=Tracker!$D23,I$4&lt;=Tracker!$E23),IF((I$4-Tracker!$D23+1)/(Tracker!$E23-Tracker!$D23+1)&lt;=Tracker!$J23+0.0001,2,1),0)</f>
        <v>2</v>
      </c>
      <c r="J20" s="37">
        <f>IF(AND(J$4&gt;=Tracker!$D23,J$4&lt;=Tracker!$E23),IF((J$4-Tracker!$D23+1)/(Tracker!$E23-Tracker!$D23+1)&lt;=Tracker!$J23+0.0001,2,1),0)</f>
        <v>1</v>
      </c>
      <c r="K20" s="37">
        <f>IF(AND(K$4&gt;=Tracker!$D23,K$4&lt;=Tracker!$E23),IF((K$4-Tracker!$D23+1)/(Tracker!$E23-Tracker!$D23+1)&lt;=Tracker!$J23+0.0001,2,1),0)</f>
        <v>0</v>
      </c>
      <c r="L20" s="37">
        <f>IF(AND(L$4&gt;=Tracker!$D23,L$4&lt;=Tracker!$E23),IF((L$4-Tracker!$D23+1)/(Tracker!$E23-Tracker!$D23+1)&lt;=Tracker!$J23+0.0001,2,1),0)</f>
        <v>0</v>
      </c>
      <c r="M20" s="37">
        <f>IF(AND(M$4&gt;=Tracker!$D23,M$4&lt;=Tracker!$E23),IF((M$4-Tracker!$D23+1)/(Tracker!$E23-Tracker!$D23+1)&lt;=Tracker!$J23+0.0001,2,1),0)</f>
        <v>0</v>
      </c>
      <c r="N20" s="37">
        <f>IF(AND(N$4&gt;=Tracker!$D23,N$4&lt;=Tracker!$E23),IF((N$4-Tracker!$D23+1)/(Tracker!$E23-Tracker!$D23+1)&lt;=Tracker!$J23+0.0001,2,1),0)</f>
        <v>0</v>
      </c>
      <c r="O20" s="37">
        <f>IF(AND(O$4&gt;=Tracker!$D23,O$4&lt;=Tracker!$E23),IF((O$4-Tracker!$D23+1)/(Tracker!$E23-Tracker!$D23+1)&lt;=Tracker!$J23+0.0001,2,1),0)</f>
        <v>0</v>
      </c>
      <c r="P20" s="34">
        <f>Tracker!J23</f>
        <v>0.5</v>
      </c>
    </row>
    <row r="21" ht="21.0" customHeight="1">
      <c r="A21" s="28" t="str">
        <f>Tracker!A24</f>
        <v>T16</v>
      </c>
      <c r="B21" s="27" t="str">
        <f>Tracker!C24</f>
        <v>Bonuses, incentives and 13th month pay</v>
      </c>
      <c r="C21" s="37">
        <f>IF(AND(C$4&gt;=Tracker!$D24,C$4&lt;=Tracker!$E24),IF((C$4-Tracker!$D24+1)/(Tracker!$E24-Tracker!$D24+1)&lt;=Tracker!$J24+0.0001,2,1),0)</f>
        <v>0</v>
      </c>
      <c r="D21" s="37">
        <f>IF(AND(D$4&gt;=Tracker!$D24,D$4&lt;=Tracker!$E24),IF((D$4-Tracker!$D24+1)/(Tracker!$E24-Tracker!$D24+1)&lt;=Tracker!$J24+0.0001,2,1),0)</f>
        <v>0</v>
      </c>
      <c r="E21" s="37">
        <f>IF(AND(E$4&gt;=Tracker!$D24,E$4&lt;=Tracker!$E24),IF((E$4-Tracker!$D24+1)/(Tracker!$E24-Tracker!$D24+1)&lt;=Tracker!$J24+0.0001,2,1),0)</f>
        <v>0</v>
      </c>
      <c r="F21" s="37">
        <f>IF(AND(F$4&gt;=Tracker!$D24,F$4&lt;=Tracker!$E24),IF((F$4-Tracker!$D24+1)/(Tracker!$E24-Tracker!$D24+1)&lt;=Tracker!$J24+0.0001,2,1),0)</f>
        <v>0</v>
      </c>
      <c r="G21" s="37">
        <f>IF(AND(G$4&gt;=Tracker!$D24,G$4&lt;=Tracker!$E24),IF((G$4-Tracker!$D24+1)/(Tracker!$E24-Tracker!$D24+1)&lt;=Tracker!$J24+0.0001,2,1),0)</f>
        <v>0</v>
      </c>
      <c r="H21" s="37">
        <f>IF(AND(H$4&gt;=Tracker!$D24,H$4&lt;=Tracker!$E24),IF((H$4-Tracker!$D24+1)/(Tracker!$E24-Tracker!$D24+1)&lt;=Tracker!$J24+0.0001,2,1),0)</f>
        <v>0</v>
      </c>
      <c r="I21" s="37">
        <f>IF(AND(I$4&gt;=Tracker!$D24,I$4&lt;=Tracker!$E24),IF((I$4-Tracker!$D24+1)/(Tracker!$E24-Tracker!$D24+1)&lt;=Tracker!$J24+0.0001,2,1),0)</f>
        <v>2</v>
      </c>
      <c r="J21" s="37">
        <f>IF(AND(J$4&gt;=Tracker!$D24,J$4&lt;=Tracker!$E24),IF((J$4-Tracker!$D24+1)/(Tracker!$E24-Tracker!$D24+1)&lt;=Tracker!$J24+0.0001,2,1),0)</f>
        <v>1</v>
      </c>
      <c r="K21" s="37">
        <f>IF(AND(K$4&gt;=Tracker!$D24,K$4&lt;=Tracker!$E24),IF((K$4-Tracker!$D24+1)/(Tracker!$E24-Tracker!$D24+1)&lt;=Tracker!$J24+0.0001,2,1),0)</f>
        <v>0</v>
      </c>
      <c r="L21" s="37">
        <f>IF(AND(L$4&gt;=Tracker!$D24,L$4&lt;=Tracker!$E24),IF((L$4-Tracker!$D24+1)/(Tracker!$E24-Tracker!$D24+1)&lt;=Tracker!$J24+0.0001,2,1),0)</f>
        <v>0</v>
      </c>
      <c r="M21" s="37">
        <f>IF(AND(M$4&gt;=Tracker!$D24,M$4&lt;=Tracker!$E24),IF((M$4-Tracker!$D24+1)/(Tracker!$E24-Tracker!$D24+1)&lt;=Tracker!$J24+0.0001,2,1),0)</f>
        <v>0</v>
      </c>
      <c r="N21" s="37">
        <f>IF(AND(N$4&gt;=Tracker!$D24,N$4&lt;=Tracker!$E24),IF((N$4-Tracker!$D24+1)/(Tracker!$E24-Tracker!$D24+1)&lt;=Tracker!$J24+0.0001,2,1),0)</f>
        <v>0</v>
      </c>
      <c r="O21" s="37">
        <f>IF(AND(O$4&gt;=Tracker!$D24,O$4&lt;=Tracker!$E24),IF((O$4-Tracker!$D24+1)/(Tracker!$E24-Tracker!$D24+1)&lt;=Tracker!$J24+0.0001,2,1),0)</f>
        <v>0</v>
      </c>
      <c r="P21" s="34">
        <f>Tracker!J24</f>
        <v>0.5</v>
      </c>
    </row>
    <row r="22" ht="21.0" customHeight="1">
      <c r="A22" s="28" t="str">
        <f>Tracker!A25</f>
        <v>T17</v>
      </c>
      <c r="B22" s="27" t="str">
        <f>Tracker!C25</f>
        <v>Statutory contributions and withholding tax</v>
      </c>
      <c r="C22" s="37">
        <f>IF(AND(C$4&gt;=Tracker!$D25,C$4&lt;=Tracker!$E25),IF((C$4-Tracker!$D25+1)/(Tracker!$E25-Tracker!$D25+1)&lt;=Tracker!$J25+0.0001,2,1),0)</f>
        <v>0</v>
      </c>
      <c r="D22" s="37">
        <f>IF(AND(D$4&gt;=Tracker!$D25,D$4&lt;=Tracker!$E25),IF((D$4-Tracker!$D25+1)/(Tracker!$E25-Tracker!$D25+1)&lt;=Tracker!$J25+0.0001,2,1),0)</f>
        <v>0</v>
      </c>
      <c r="E22" s="37">
        <f>IF(AND(E$4&gt;=Tracker!$D25,E$4&lt;=Tracker!$E25),IF((E$4-Tracker!$D25+1)/(Tracker!$E25-Tracker!$D25+1)&lt;=Tracker!$J25+0.0001,2,1),0)</f>
        <v>0</v>
      </c>
      <c r="F22" s="37">
        <f>IF(AND(F$4&gt;=Tracker!$D25,F$4&lt;=Tracker!$E25),IF((F$4-Tracker!$D25+1)/(Tracker!$E25-Tracker!$D25+1)&lt;=Tracker!$J25+0.0001,2,1),0)</f>
        <v>0</v>
      </c>
      <c r="G22" s="37">
        <f>IF(AND(G$4&gt;=Tracker!$D25,G$4&lt;=Tracker!$E25),IF((G$4-Tracker!$D25+1)/(Tracker!$E25-Tracker!$D25+1)&lt;=Tracker!$J25+0.0001,2,1),0)</f>
        <v>0</v>
      </c>
      <c r="H22" s="37">
        <f>IF(AND(H$4&gt;=Tracker!$D25,H$4&lt;=Tracker!$E25),IF((H$4-Tracker!$D25+1)/(Tracker!$E25-Tracker!$D25+1)&lt;=Tracker!$J25+0.0001,2,1),0)</f>
        <v>2</v>
      </c>
      <c r="I22" s="37">
        <f>IF(AND(I$4&gt;=Tracker!$D25,I$4&lt;=Tracker!$E25),IF((I$4-Tracker!$D25+1)/(Tracker!$E25-Tracker!$D25+1)&lt;=Tracker!$J25+0.0001,2,1),0)</f>
        <v>1</v>
      </c>
      <c r="J22" s="37">
        <f>IF(AND(J$4&gt;=Tracker!$D25,J$4&lt;=Tracker!$E25),IF((J$4-Tracker!$D25+1)/(Tracker!$E25-Tracker!$D25+1)&lt;=Tracker!$J25+0.0001,2,1),0)</f>
        <v>1</v>
      </c>
      <c r="K22" s="37">
        <f>IF(AND(K$4&gt;=Tracker!$D25,K$4&lt;=Tracker!$E25),IF((K$4-Tracker!$D25+1)/(Tracker!$E25-Tracker!$D25+1)&lt;=Tracker!$J25+0.0001,2,1),0)</f>
        <v>0</v>
      </c>
      <c r="L22" s="37">
        <f>IF(AND(L$4&gt;=Tracker!$D25,L$4&lt;=Tracker!$E25),IF((L$4-Tracker!$D25+1)/(Tracker!$E25-Tracker!$D25+1)&lt;=Tracker!$J25+0.0001,2,1),0)</f>
        <v>0</v>
      </c>
      <c r="M22" s="37">
        <f>IF(AND(M$4&gt;=Tracker!$D25,M$4&lt;=Tracker!$E25),IF((M$4-Tracker!$D25+1)/(Tracker!$E25-Tracker!$D25+1)&lt;=Tracker!$J25+0.0001,2,1),0)</f>
        <v>0</v>
      </c>
      <c r="N22" s="37">
        <f>IF(AND(N$4&gt;=Tracker!$D25,N$4&lt;=Tracker!$E25),IF((N$4-Tracker!$D25+1)/(Tracker!$E25-Tracker!$D25+1)&lt;=Tracker!$J25+0.0001,2,1),0)</f>
        <v>0</v>
      </c>
      <c r="O22" s="37">
        <f>IF(AND(O$4&gt;=Tracker!$D25,O$4&lt;=Tracker!$E25),IF((O$4-Tracker!$D25+1)/(Tracker!$E25-Tracker!$D25+1)&lt;=Tracker!$J25+0.0001,2,1),0)</f>
        <v>0</v>
      </c>
      <c r="P22" s="34">
        <f>Tracker!J25</f>
        <v>0.5</v>
      </c>
    </row>
    <row r="23" ht="21.0" customHeight="1">
      <c r="A23" s="28" t="str">
        <f>Tracker!A26</f>
        <v>T18</v>
      </c>
      <c r="B23" s="27" t="str">
        <f>Tracker!C26</f>
        <v>Reports, dashboard and notifications</v>
      </c>
      <c r="C23" s="37">
        <f>IF(AND(C$4&gt;=Tracker!$D26,C$4&lt;=Tracker!$E26),IF((C$4-Tracker!$D26+1)/(Tracker!$E26-Tracker!$D26+1)&lt;=Tracker!$J26+0.0001,2,1),0)</f>
        <v>0</v>
      </c>
      <c r="D23" s="37">
        <f>IF(AND(D$4&gt;=Tracker!$D26,D$4&lt;=Tracker!$E26),IF((D$4-Tracker!$D26+1)/(Tracker!$E26-Tracker!$D26+1)&lt;=Tracker!$J26+0.0001,2,1),0)</f>
        <v>0</v>
      </c>
      <c r="E23" s="37">
        <f>IF(AND(E$4&gt;=Tracker!$D26,E$4&lt;=Tracker!$E26),IF((E$4-Tracker!$D26+1)/(Tracker!$E26-Tracker!$D26+1)&lt;=Tracker!$J26+0.0001,2,1),0)</f>
        <v>0</v>
      </c>
      <c r="F23" s="37">
        <f>IF(AND(F$4&gt;=Tracker!$D26,F$4&lt;=Tracker!$E26),IF((F$4-Tracker!$D26+1)/(Tracker!$E26-Tracker!$D26+1)&lt;=Tracker!$J26+0.0001,2,1),0)</f>
        <v>0</v>
      </c>
      <c r="G23" s="37">
        <f>IF(AND(G$4&gt;=Tracker!$D26,G$4&lt;=Tracker!$E26),IF((G$4-Tracker!$D26+1)/(Tracker!$E26-Tracker!$D26+1)&lt;=Tracker!$J26+0.0001,2,1),0)</f>
        <v>0</v>
      </c>
      <c r="H23" s="37">
        <f>IF(AND(H$4&gt;=Tracker!$D26,H$4&lt;=Tracker!$E26),IF((H$4-Tracker!$D26+1)/(Tracker!$E26-Tracker!$D26+1)&lt;=Tracker!$J26+0.0001,2,1),0)</f>
        <v>0</v>
      </c>
      <c r="I23" s="37">
        <f>IF(AND(I$4&gt;=Tracker!$D26,I$4&lt;=Tracker!$E26),IF((I$4-Tracker!$D26+1)/(Tracker!$E26-Tracker!$D26+1)&lt;=Tracker!$J26+0.0001,2,1),0)</f>
        <v>0</v>
      </c>
      <c r="J23" s="37">
        <f>IF(AND(J$4&gt;=Tracker!$D26,J$4&lt;=Tracker!$E26),IF((J$4-Tracker!$D26+1)/(Tracker!$E26-Tracker!$D26+1)&lt;=Tracker!$J26+0.0001,2,1),0)</f>
        <v>2</v>
      </c>
      <c r="K23" s="37">
        <f>IF(AND(K$4&gt;=Tracker!$D26,K$4&lt;=Tracker!$E26),IF((K$4-Tracker!$D26+1)/(Tracker!$E26-Tracker!$D26+1)&lt;=Tracker!$J26+0.0001,2,1),0)</f>
        <v>1</v>
      </c>
      <c r="L23" s="37">
        <f>IF(AND(L$4&gt;=Tracker!$D26,L$4&lt;=Tracker!$E26),IF((L$4-Tracker!$D26+1)/(Tracker!$E26-Tracker!$D26+1)&lt;=Tracker!$J26+0.0001,2,1),0)</f>
        <v>0</v>
      </c>
      <c r="M23" s="37">
        <f>IF(AND(M$4&gt;=Tracker!$D26,M$4&lt;=Tracker!$E26),IF((M$4-Tracker!$D26+1)/(Tracker!$E26-Tracker!$D26+1)&lt;=Tracker!$J26+0.0001,2,1),0)</f>
        <v>0</v>
      </c>
      <c r="N23" s="37">
        <f>IF(AND(N$4&gt;=Tracker!$D26,N$4&lt;=Tracker!$E26),IF((N$4-Tracker!$D26+1)/(Tracker!$E26-Tracker!$D26+1)&lt;=Tracker!$J26+0.0001,2,1),0)</f>
        <v>0</v>
      </c>
      <c r="O23" s="37">
        <f>IF(AND(O$4&gt;=Tracker!$D26,O$4&lt;=Tracker!$E26),IF((O$4-Tracker!$D26+1)/(Tracker!$E26-Tracker!$D26+1)&lt;=Tracker!$J26+0.0001,2,1),0)</f>
        <v>0</v>
      </c>
      <c r="P23" s="34">
        <f>Tracker!J26</f>
        <v>0.5</v>
      </c>
    </row>
    <row r="24" ht="21.0" customHeight="1">
      <c r="A24" s="28" t="str">
        <f>Tracker!A27</f>
        <v>T19</v>
      </c>
      <c r="B24" s="27" t="str">
        <f>Tracker!C27</f>
        <v>Employee and Manager self-service (ESS)</v>
      </c>
      <c r="C24" s="37">
        <f>IF(AND(C$4&gt;=Tracker!$D27,C$4&lt;=Tracker!$E27),IF((C$4-Tracker!$D27+1)/(Tracker!$E27-Tracker!$D27+1)&lt;=Tracker!$J27+0.0001,2,1),0)</f>
        <v>0</v>
      </c>
      <c r="D24" s="37">
        <f>IF(AND(D$4&gt;=Tracker!$D27,D$4&lt;=Tracker!$E27),IF((D$4-Tracker!$D27+1)/(Tracker!$E27-Tracker!$D27+1)&lt;=Tracker!$J27+0.0001,2,1),0)</f>
        <v>0</v>
      </c>
      <c r="E24" s="37">
        <f>IF(AND(E$4&gt;=Tracker!$D27,E$4&lt;=Tracker!$E27),IF((E$4-Tracker!$D27+1)/(Tracker!$E27-Tracker!$D27+1)&lt;=Tracker!$J27+0.0001,2,1),0)</f>
        <v>0</v>
      </c>
      <c r="F24" s="37">
        <f>IF(AND(F$4&gt;=Tracker!$D27,F$4&lt;=Tracker!$E27),IF((F$4-Tracker!$D27+1)/(Tracker!$E27-Tracker!$D27+1)&lt;=Tracker!$J27+0.0001,2,1),0)</f>
        <v>0</v>
      </c>
      <c r="G24" s="37">
        <f>IF(AND(G$4&gt;=Tracker!$D27,G$4&lt;=Tracker!$E27),IF((G$4-Tracker!$D27+1)/(Tracker!$E27-Tracker!$D27+1)&lt;=Tracker!$J27+0.0001,2,1),0)</f>
        <v>0</v>
      </c>
      <c r="H24" s="37">
        <f>IF(AND(H$4&gt;=Tracker!$D27,H$4&lt;=Tracker!$E27),IF((H$4-Tracker!$D27+1)/(Tracker!$E27-Tracker!$D27+1)&lt;=Tracker!$J27+0.0001,2,1),0)</f>
        <v>2</v>
      </c>
      <c r="I24" s="37">
        <f>IF(AND(I$4&gt;=Tracker!$D27,I$4&lt;=Tracker!$E27),IF((I$4-Tracker!$D27+1)/(Tracker!$E27-Tracker!$D27+1)&lt;=Tracker!$J27+0.0001,2,1),0)</f>
        <v>1</v>
      </c>
      <c r="J24" s="37">
        <f>IF(AND(J$4&gt;=Tracker!$D27,J$4&lt;=Tracker!$E27),IF((J$4-Tracker!$D27+1)/(Tracker!$E27-Tracker!$D27+1)&lt;=Tracker!$J27+0.0001,2,1),0)</f>
        <v>1</v>
      </c>
      <c r="K24" s="37">
        <f>IF(AND(K$4&gt;=Tracker!$D27,K$4&lt;=Tracker!$E27),IF((K$4-Tracker!$D27+1)/(Tracker!$E27-Tracker!$D27+1)&lt;=Tracker!$J27+0.0001,2,1),0)</f>
        <v>0</v>
      </c>
      <c r="L24" s="37">
        <f>IF(AND(L$4&gt;=Tracker!$D27,L$4&lt;=Tracker!$E27),IF((L$4-Tracker!$D27+1)/(Tracker!$E27-Tracker!$D27+1)&lt;=Tracker!$J27+0.0001,2,1),0)</f>
        <v>0</v>
      </c>
      <c r="M24" s="37">
        <f>IF(AND(M$4&gt;=Tracker!$D27,M$4&lt;=Tracker!$E27),IF((M$4-Tracker!$D27+1)/(Tracker!$E27-Tracker!$D27+1)&lt;=Tracker!$J27+0.0001,2,1),0)</f>
        <v>0</v>
      </c>
      <c r="N24" s="37">
        <f>IF(AND(N$4&gt;=Tracker!$D27,N$4&lt;=Tracker!$E27),IF((N$4-Tracker!$D27+1)/(Tracker!$E27-Tracker!$D27+1)&lt;=Tracker!$J27+0.0001,2,1),0)</f>
        <v>0</v>
      </c>
      <c r="O24" s="37">
        <f>IF(AND(O$4&gt;=Tracker!$D27,O$4&lt;=Tracker!$E27),IF((O$4-Tracker!$D27+1)/(Tracker!$E27-Tracker!$D27+1)&lt;=Tracker!$J27+0.0001,2,1),0)</f>
        <v>0</v>
      </c>
      <c r="P24" s="34">
        <f>Tracker!J27</f>
        <v>0.5</v>
      </c>
    </row>
    <row r="25" ht="21.0" customHeight="1">
      <c r="A25" s="28" t="str">
        <f>Tracker!A28</f>
        <v>T20</v>
      </c>
      <c r="B25" s="27" t="str">
        <f>Tracker!C28</f>
        <v>Super Admin: companies, subscription, plans</v>
      </c>
      <c r="C25" s="37">
        <f>IF(AND(C$4&gt;=Tracker!$D28,C$4&lt;=Tracker!$E28),IF((C$4-Tracker!$D28+1)/(Tracker!$E28-Tracker!$D28+1)&lt;=Tracker!$J28+0.0001,2,1),0)</f>
        <v>0</v>
      </c>
      <c r="D25" s="37">
        <f>IF(AND(D$4&gt;=Tracker!$D28,D$4&lt;=Tracker!$E28),IF((D$4-Tracker!$D28+1)/(Tracker!$E28-Tracker!$D28+1)&lt;=Tracker!$J28+0.0001,2,1),0)</f>
        <v>0</v>
      </c>
      <c r="E25" s="37">
        <f>IF(AND(E$4&gt;=Tracker!$D28,E$4&lt;=Tracker!$E28),IF((E$4-Tracker!$D28+1)/(Tracker!$E28-Tracker!$D28+1)&lt;=Tracker!$J28+0.0001,2,1),0)</f>
        <v>0</v>
      </c>
      <c r="F25" s="37">
        <f>IF(AND(F$4&gt;=Tracker!$D28,F$4&lt;=Tracker!$E28),IF((F$4-Tracker!$D28+1)/(Tracker!$E28-Tracker!$D28+1)&lt;=Tracker!$J28+0.0001,2,1),0)</f>
        <v>0</v>
      </c>
      <c r="G25" s="37">
        <f>IF(AND(G$4&gt;=Tracker!$D28,G$4&lt;=Tracker!$E28),IF((G$4-Tracker!$D28+1)/(Tracker!$E28-Tracker!$D28+1)&lt;=Tracker!$J28+0.0001,2,1),0)</f>
        <v>0</v>
      </c>
      <c r="H25" s="37">
        <f>IF(AND(H$4&gt;=Tracker!$D28,H$4&lt;=Tracker!$E28),IF((H$4-Tracker!$D28+1)/(Tracker!$E28-Tracker!$D28+1)&lt;=Tracker!$J28+0.0001,2,1),0)</f>
        <v>0</v>
      </c>
      <c r="I25" s="37">
        <f>IF(AND(I$4&gt;=Tracker!$D28,I$4&lt;=Tracker!$E28),IF((I$4-Tracker!$D28+1)/(Tracker!$E28-Tracker!$D28+1)&lt;=Tracker!$J28+0.0001,2,1),0)</f>
        <v>0</v>
      </c>
      <c r="J25" s="37">
        <f>IF(AND(J$4&gt;=Tracker!$D28,J$4&lt;=Tracker!$E28),IF((J$4-Tracker!$D28+1)/(Tracker!$E28-Tracker!$D28+1)&lt;=Tracker!$J28+0.0001,2,1),0)</f>
        <v>0</v>
      </c>
      <c r="K25" s="37">
        <f>IF(AND(K$4&gt;=Tracker!$D28,K$4&lt;=Tracker!$E28),IF((K$4-Tracker!$D28+1)/(Tracker!$E28-Tracker!$D28+1)&lt;=Tracker!$J28+0.0001,2,1),0)</f>
        <v>1</v>
      </c>
      <c r="L25" s="37">
        <f>IF(AND(L$4&gt;=Tracker!$D28,L$4&lt;=Tracker!$E28),IF((L$4-Tracker!$D28+1)/(Tracker!$E28-Tracker!$D28+1)&lt;=Tracker!$J28+0.0001,2,1),0)</f>
        <v>0</v>
      </c>
      <c r="M25" s="37">
        <f>IF(AND(M$4&gt;=Tracker!$D28,M$4&lt;=Tracker!$E28),IF((M$4-Tracker!$D28+1)/(Tracker!$E28-Tracker!$D28+1)&lt;=Tracker!$J28+0.0001,2,1),0)</f>
        <v>0</v>
      </c>
      <c r="N25" s="37">
        <f>IF(AND(N$4&gt;=Tracker!$D28,N$4&lt;=Tracker!$E28),IF((N$4-Tracker!$D28+1)/(Tracker!$E28-Tracker!$D28+1)&lt;=Tracker!$J28+0.0001,2,1),0)</f>
        <v>0</v>
      </c>
      <c r="O25" s="37">
        <f>IF(AND(O$4&gt;=Tracker!$D28,O$4&lt;=Tracker!$E28),IF((O$4-Tracker!$D28+1)/(Tracker!$E28-Tracker!$D28+1)&lt;=Tracker!$J28+0.0001,2,1),0)</f>
        <v>0</v>
      </c>
      <c r="P25" s="34">
        <f>Tracker!J28</f>
        <v>0.5</v>
      </c>
    </row>
    <row r="26" ht="21.0" customHeight="1">
      <c r="A26" s="28" t="str">
        <f>Tracker!A29</f>
        <v>T21</v>
      </c>
      <c r="B26" s="27" t="str">
        <f>Tracker!C29</f>
        <v>Integrations and API (API keys, webhooks)</v>
      </c>
      <c r="C26" s="37">
        <f>IF(AND(C$4&gt;=Tracker!$D29,C$4&lt;=Tracker!$E29),IF((C$4-Tracker!$D29+1)/(Tracker!$E29-Tracker!$D29+1)&lt;=Tracker!$J29+0.0001,2,1),0)</f>
        <v>0</v>
      </c>
      <c r="D26" s="37">
        <f>IF(AND(D$4&gt;=Tracker!$D29,D$4&lt;=Tracker!$E29),IF((D$4-Tracker!$D29+1)/(Tracker!$E29-Tracker!$D29+1)&lt;=Tracker!$J29+0.0001,2,1),0)</f>
        <v>0</v>
      </c>
      <c r="E26" s="37">
        <f>IF(AND(E$4&gt;=Tracker!$D29,E$4&lt;=Tracker!$E29),IF((E$4-Tracker!$D29+1)/(Tracker!$E29-Tracker!$D29+1)&lt;=Tracker!$J29+0.0001,2,1),0)</f>
        <v>0</v>
      </c>
      <c r="F26" s="37">
        <f>IF(AND(F$4&gt;=Tracker!$D29,F$4&lt;=Tracker!$E29),IF((F$4-Tracker!$D29+1)/(Tracker!$E29-Tracker!$D29+1)&lt;=Tracker!$J29+0.0001,2,1),0)</f>
        <v>0</v>
      </c>
      <c r="G26" s="37">
        <f>IF(AND(G$4&gt;=Tracker!$D29,G$4&lt;=Tracker!$E29),IF((G$4-Tracker!$D29+1)/(Tracker!$E29-Tracker!$D29+1)&lt;=Tracker!$J29+0.0001,2,1),0)</f>
        <v>0</v>
      </c>
      <c r="H26" s="37">
        <f>IF(AND(H$4&gt;=Tracker!$D29,H$4&lt;=Tracker!$E29),IF((H$4-Tracker!$D29+1)/(Tracker!$E29-Tracker!$D29+1)&lt;=Tracker!$J29+0.0001,2,1),0)</f>
        <v>0</v>
      </c>
      <c r="I26" s="37">
        <f>IF(AND(I$4&gt;=Tracker!$D29,I$4&lt;=Tracker!$E29),IF((I$4-Tracker!$D29+1)/(Tracker!$E29-Tracker!$D29+1)&lt;=Tracker!$J29+0.0001,2,1),0)</f>
        <v>0</v>
      </c>
      <c r="J26" s="37">
        <f>IF(AND(J$4&gt;=Tracker!$D29,J$4&lt;=Tracker!$E29),IF((J$4-Tracker!$D29+1)/(Tracker!$E29-Tracker!$D29+1)&lt;=Tracker!$J29+0.0001,2,1),0)</f>
        <v>0</v>
      </c>
      <c r="K26" s="37">
        <f>IF(AND(K$4&gt;=Tracker!$D29,K$4&lt;=Tracker!$E29),IF((K$4-Tracker!$D29+1)/(Tracker!$E29-Tracker!$D29+1)&lt;=Tracker!$J29+0.0001,2,1),0)</f>
        <v>2</v>
      </c>
      <c r="L26" s="37">
        <f>IF(AND(L$4&gt;=Tracker!$D29,L$4&lt;=Tracker!$E29),IF((L$4-Tracker!$D29+1)/(Tracker!$E29-Tracker!$D29+1)&lt;=Tracker!$J29+0.0001,2,1),0)</f>
        <v>1</v>
      </c>
      <c r="M26" s="37">
        <f>IF(AND(M$4&gt;=Tracker!$D29,M$4&lt;=Tracker!$E29),IF((M$4-Tracker!$D29+1)/(Tracker!$E29-Tracker!$D29+1)&lt;=Tracker!$J29+0.0001,2,1),0)</f>
        <v>0</v>
      </c>
      <c r="N26" s="37">
        <f>IF(AND(N$4&gt;=Tracker!$D29,N$4&lt;=Tracker!$E29),IF((N$4-Tracker!$D29+1)/(Tracker!$E29-Tracker!$D29+1)&lt;=Tracker!$J29+0.0001,2,1),0)</f>
        <v>0</v>
      </c>
      <c r="O26" s="37">
        <f>IF(AND(O$4&gt;=Tracker!$D29,O$4&lt;=Tracker!$E29),IF((O$4-Tracker!$D29+1)/(Tracker!$E29-Tracker!$D29+1)&lt;=Tracker!$J29+0.0001,2,1),0)</f>
        <v>0</v>
      </c>
      <c r="P26" s="34">
        <f>Tracker!J29</f>
        <v>0.5</v>
      </c>
    </row>
    <row r="27" ht="21.0" customHeight="1">
      <c r="A27" s="28" t="str">
        <f>Tracker!A30</f>
        <v>T22</v>
      </c>
      <c r="B27" s="27" t="str">
        <f>Tracker!C30</f>
        <v>QA testing, bug fixing and performance checks</v>
      </c>
      <c r="C27" s="37">
        <f>IF(AND(C$4&gt;=Tracker!$D30,C$4&lt;=Tracker!$E30),IF((C$4-Tracker!$D30+1)/(Tracker!$E30-Tracker!$D30+1)&lt;=Tracker!$J30+0.0001,2,1),0)</f>
        <v>0</v>
      </c>
      <c r="D27" s="37">
        <f>IF(AND(D$4&gt;=Tracker!$D30,D$4&lt;=Tracker!$E30),IF((D$4-Tracker!$D30+1)/(Tracker!$E30-Tracker!$D30+1)&lt;=Tracker!$J30+0.0001,2,1),0)</f>
        <v>0</v>
      </c>
      <c r="E27" s="37">
        <f>IF(AND(E$4&gt;=Tracker!$D30,E$4&lt;=Tracker!$E30),IF((E$4-Tracker!$D30+1)/(Tracker!$E30-Tracker!$D30+1)&lt;=Tracker!$J30+0.0001,2,1),0)</f>
        <v>0</v>
      </c>
      <c r="F27" s="37">
        <f>IF(AND(F$4&gt;=Tracker!$D30,F$4&lt;=Tracker!$E30),IF((F$4-Tracker!$D30+1)/(Tracker!$E30-Tracker!$D30+1)&lt;=Tracker!$J30+0.0001,2,1),0)</f>
        <v>0</v>
      </c>
      <c r="G27" s="37">
        <f>IF(AND(G$4&gt;=Tracker!$D30,G$4&lt;=Tracker!$E30),IF((G$4-Tracker!$D30+1)/(Tracker!$E30-Tracker!$D30+1)&lt;=Tracker!$J30+0.0001,2,1),0)</f>
        <v>0</v>
      </c>
      <c r="H27" s="37">
        <f>IF(AND(H$4&gt;=Tracker!$D30,H$4&lt;=Tracker!$E30),IF((H$4-Tracker!$D30+1)/(Tracker!$E30-Tracker!$D30+1)&lt;=Tracker!$J30+0.0001,2,1),0)</f>
        <v>0</v>
      </c>
      <c r="I27" s="37">
        <f>IF(AND(I$4&gt;=Tracker!$D30,I$4&lt;=Tracker!$E30),IF((I$4-Tracker!$D30+1)/(Tracker!$E30-Tracker!$D30+1)&lt;=Tracker!$J30+0.0001,2,1),0)</f>
        <v>0</v>
      </c>
      <c r="J27" s="37">
        <f>IF(AND(J$4&gt;=Tracker!$D30,J$4&lt;=Tracker!$E30),IF((J$4-Tracker!$D30+1)/(Tracker!$E30-Tracker!$D30+1)&lt;=Tracker!$J30+0.0001,2,1),0)</f>
        <v>0</v>
      </c>
      <c r="K27" s="37">
        <f>IF(AND(K$4&gt;=Tracker!$D30,K$4&lt;=Tracker!$E30),IF((K$4-Tracker!$D30+1)/(Tracker!$E30-Tracker!$D30+1)&lt;=Tracker!$J30+0.0001,2,1),0)</f>
        <v>1</v>
      </c>
      <c r="L27" s="37">
        <f>IF(AND(L$4&gt;=Tracker!$D30,L$4&lt;=Tracker!$E30),IF((L$4-Tracker!$D30+1)/(Tracker!$E30-Tracker!$D30+1)&lt;=Tracker!$J30+0.0001,2,1),0)</f>
        <v>1</v>
      </c>
      <c r="M27" s="37">
        <f>IF(AND(M$4&gt;=Tracker!$D30,M$4&lt;=Tracker!$E30),IF((M$4-Tracker!$D30+1)/(Tracker!$E30-Tracker!$D30+1)&lt;=Tracker!$J30+0.0001,2,1),0)</f>
        <v>1</v>
      </c>
      <c r="N27" s="37">
        <f>IF(AND(N$4&gt;=Tracker!$D30,N$4&lt;=Tracker!$E30),IF((N$4-Tracker!$D30+1)/(Tracker!$E30-Tracker!$D30+1)&lt;=Tracker!$J30+0.0001,2,1),0)</f>
        <v>0</v>
      </c>
      <c r="O27" s="37">
        <f>IF(AND(O$4&gt;=Tracker!$D30,O$4&lt;=Tracker!$E30),IF((O$4-Tracker!$D30+1)/(Tracker!$E30-Tracker!$D30+1)&lt;=Tracker!$J30+0.0001,2,1),0)</f>
        <v>0</v>
      </c>
      <c r="P27" s="34">
        <f>Tracker!J30</f>
        <v>0</v>
      </c>
    </row>
    <row r="28" ht="21.0" customHeight="1">
      <c r="A28" s="28" t="str">
        <f>Tracker!A31</f>
        <v>T23</v>
      </c>
      <c r="B28" s="27" t="str">
        <f>Tracker!C31</f>
        <v>UAT, pilot and go-live</v>
      </c>
      <c r="C28" s="37">
        <f>IF(AND(C$4&gt;=Tracker!$D31,C$4&lt;=Tracker!$E31),IF((C$4-Tracker!$D31+1)/(Tracker!$E31-Tracker!$D31+1)&lt;=Tracker!$J31+0.0001,2,1),0)</f>
        <v>0</v>
      </c>
      <c r="D28" s="37">
        <f>IF(AND(D$4&gt;=Tracker!$D31,D$4&lt;=Tracker!$E31),IF((D$4-Tracker!$D31+1)/(Tracker!$E31-Tracker!$D31+1)&lt;=Tracker!$J31+0.0001,2,1),0)</f>
        <v>0</v>
      </c>
      <c r="E28" s="37">
        <f>IF(AND(E$4&gt;=Tracker!$D31,E$4&lt;=Tracker!$E31),IF((E$4-Tracker!$D31+1)/(Tracker!$E31-Tracker!$D31+1)&lt;=Tracker!$J31+0.0001,2,1),0)</f>
        <v>0</v>
      </c>
      <c r="F28" s="37">
        <f>IF(AND(F$4&gt;=Tracker!$D31,F$4&lt;=Tracker!$E31),IF((F$4-Tracker!$D31+1)/(Tracker!$E31-Tracker!$D31+1)&lt;=Tracker!$J31+0.0001,2,1),0)</f>
        <v>0</v>
      </c>
      <c r="G28" s="37">
        <f>IF(AND(G$4&gt;=Tracker!$D31,G$4&lt;=Tracker!$E31),IF((G$4-Tracker!$D31+1)/(Tracker!$E31-Tracker!$D31+1)&lt;=Tracker!$J31+0.0001,2,1),0)</f>
        <v>0</v>
      </c>
      <c r="H28" s="37">
        <f>IF(AND(H$4&gt;=Tracker!$D31,H$4&lt;=Tracker!$E31),IF((H$4-Tracker!$D31+1)/(Tracker!$E31-Tracker!$D31+1)&lt;=Tracker!$J31+0.0001,2,1),0)</f>
        <v>0</v>
      </c>
      <c r="I28" s="37">
        <f>IF(AND(I$4&gt;=Tracker!$D31,I$4&lt;=Tracker!$E31),IF((I$4-Tracker!$D31+1)/(Tracker!$E31-Tracker!$D31+1)&lt;=Tracker!$J31+0.0001,2,1),0)</f>
        <v>0</v>
      </c>
      <c r="J28" s="37">
        <f>IF(AND(J$4&gt;=Tracker!$D31,J$4&lt;=Tracker!$E31),IF((J$4-Tracker!$D31+1)/(Tracker!$E31-Tracker!$D31+1)&lt;=Tracker!$J31+0.0001,2,1),0)</f>
        <v>0</v>
      </c>
      <c r="K28" s="37">
        <f>IF(AND(K$4&gt;=Tracker!$D31,K$4&lt;=Tracker!$E31),IF((K$4-Tracker!$D31+1)/(Tracker!$E31-Tracker!$D31+1)&lt;=Tracker!$J31+0.0001,2,1),0)</f>
        <v>0</v>
      </c>
      <c r="L28" s="37">
        <f>IF(AND(L$4&gt;=Tracker!$D31,L$4&lt;=Tracker!$E31),IF((L$4-Tracker!$D31+1)/(Tracker!$E31-Tracker!$D31+1)&lt;=Tracker!$J31+0.0001,2,1),0)</f>
        <v>1</v>
      </c>
      <c r="M28" s="37">
        <f>IF(AND(M$4&gt;=Tracker!$D31,M$4&lt;=Tracker!$E31),IF((M$4-Tracker!$D31+1)/(Tracker!$E31-Tracker!$D31+1)&lt;=Tracker!$J31+0.0001,2,1),0)</f>
        <v>1</v>
      </c>
      <c r="N28" s="37">
        <f>IF(AND(N$4&gt;=Tracker!$D31,N$4&lt;=Tracker!$E31),IF((N$4-Tracker!$D31+1)/(Tracker!$E31-Tracker!$D31+1)&lt;=Tracker!$J31+0.0001,2,1),0)</f>
        <v>0</v>
      </c>
      <c r="O28" s="37">
        <f>IF(AND(O$4&gt;=Tracker!$D31,O$4&lt;=Tracker!$E31),IF((O$4-Tracker!$D31+1)/(Tracker!$E31-Tracker!$D31+1)&lt;=Tracker!$J31+0.0001,2,1),0)</f>
        <v>0</v>
      </c>
      <c r="P28" s="34">
        <f>Tracker!J31</f>
        <v>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3:F3"/>
    <mergeCell ref="G3:J3"/>
    <mergeCell ref="K3:O3"/>
  </mergeCells>
  <conditionalFormatting sqref="C6:O28">
    <cfRule type="cellIs" dxfId="19" priority="1" operator="equal">
      <formula>2</formula>
    </cfRule>
  </conditionalFormatting>
  <conditionalFormatting sqref="C6:O28">
    <cfRule type="cellIs" dxfId="20" priority="2" operator="equal">
      <formula>1</formula>
    </cfRule>
  </conditionalFormatting>
  <printOptions/>
  <pageMargins bottom="1.0" footer="0.0" header="0.0" left="0.75" right="0.75" top="1.0"/>
  <pageSetup fitToHeight="0" orientation="landscape"/>
  <headerFooter>
    <oddFooter>&amp;L Project Owner: Louren Isobel Rubico&amp;R Page &amp;P of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D6D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2" width="13.0"/>
    <col customWidth="1" min="3" max="3" width="16.0"/>
    <col customWidth="1" min="4" max="5" width="17.0"/>
    <col customWidth="1" min="6" max="6" width="36.0"/>
    <col customWidth="1" min="7" max="26" width="8.71"/>
  </cols>
  <sheetData>
    <row r="1" ht="36.0" customHeight="1">
      <c r="A1" s="1" t="s">
        <v>2</v>
      </c>
      <c r="B1" s="2"/>
      <c r="C1" s="2"/>
      <c r="D1" s="2"/>
      <c r="E1" s="2"/>
      <c r="F1" s="2"/>
    </row>
    <row r="2" ht="21.75" customHeight="1">
      <c r="A2" s="3" t="str">
        <f>"Project Owner: "&amp;Tracker!$C$3&amp;"   |   Enter Actual % at the end of each week (copy Tracker J32). Leave future weeks blank."</f>
        <v>Project Owner: Thea Consignado   |   Enter Actual % at the end of each week (copy Tracker J32). Leave future weeks blank.</v>
      </c>
      <c r="B2" s="2"/>
      <c r="C2" s="2"/>
      <c r="D2" s="2"/>
      <c r="E2" s="2"/>
      <c r="F2" s="2"/>
    </row>
    <row r="4" ht="30.0" customHeight="1">
      <c r="A4" s="5" t="s">
        <v>4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</row>
    <row r="5" ht="21.0" customHeight="1">
      <c r="A5" s="8">
        <v>0.0</v>
      </c>
      <c r="B5" s="11" t="s">
        <v>14</v>
      </c>
      <c r="C5" s="18">
        <f>SUMPRODUCT(Tracker!$F$9:$F$31,'Plan calc'!C$4:C$26)/Tracker!$F$32</f>
        <v>0</v>
      </c>
      <c r="D5" s="21">
        <v>0.0</v>
      </c>
      <c r="E5" s="26">
        <f t="shared" ref="E5:E18" si="1">IF(D5="","",(D5-C5)*100)</f>
        <v>0</v>
      </c>
      <c r="F5" s="27"/>
    </row>
    <row r="6" ht="21.0" customHeight="1">
      <c r="A6" s="8">
        <v>1.0</v>
      </c>
      <c r="B6" s="11">
        <f>Tracker!$C$4+(1-1)*7</f>
        <v>46280</v>
      </c>
      <c r="C6" s="18">
        <f>SUMPRODUCT(Tracker!$F$9:$F$31,'Plan calc'!D$4:D$26)/Tracker!$F$32</f>
        <v>0.0541012216404887</v>
      </c>
      <c r="D6" s="21"/>
      <c r="E6" s="26" t="str">
        <f t="shared" si="1"/>
        <v/>
      </c>
      <c r="F6" s="27"/>
    </row>
    <row r="7" ht="21.0" customHeight="1">
      <c r="A7" s="8">
        <v>2.0</v>
      </c>
      <c r="B7" s="11">
        <f>Tracker!$C$4+(2-1)*7</f>
        <v>46287</v>
      </c>
      <c r="C7" s="18">
        <f>SUMPRODUCT(Tracker!$F$9:$F$31,'Plan calc'!E$4:E$26)/Tracker!$F$32</f>
        <v>0.136998254799302</v>
      </c>
      <c r="D7" s="21"/>
      <c r="E7" s="26" t="str">
        <f t="shared" si="1"/>
        <v/>
      </c>
      <c r="F7" s="27"/>
    </row>
    <row r="8" ht="21.0" customHeight="1">
      <c r="A8" s="8">
        <v>3.0</v>
      </c>
      <c r="B8" s="11">
        <f>Tracker!$C$4+(3-1)*7</f>
        <v>46294</v>
      </c>
      <c r="C8" s="18">
        <f>SUMPRODUCT(Tracker!$F$9:$F$31,'Plan calc'!F$4:F$26)/Tracker!$F$32</f>
        <v>0.298429319371728</v>
      </c>
      <c r="D8" s="21"/>
      <c r="E8" s="26" t="str">
        <f t="shared" si="1"/>
        <v/>
      </c>
      <c r="F8" s="27"/>
    </row>
    <row r="9" ht="21.0" customHeight="1">
      <c r="A9" s="8">
        <v>4.0</v>
      </c>
      <c r="B9" s="11">
        <f>Tracker!$C$4+(4-1)*7</f>
        <v>46301</v>
      </c>
      <c r="C9" s="18">
        <f>SUMPRODUCT(Tracker!$F$9:$F$31,'Plan calc'!G$4:G$26)/Tracker!$F$32</f>
        <v>0.387434554973822</v>
      </c>
      <c r="D9" s="21"/>
      <c r="E9" s="26" t="str">
        <f t="shared" si="1"/>
        <v/>
      </c>
      <c r="F9" s="27"/>
    </row>
    <row r="10" ht="21.0" customHeight="1">
      <c r="A10" s="8">
        <v>5.0</v>
      </c>
      <c r="B10" s="11">
        <f>Tracker!$C$4+(5-1)*7</f>
        <v>46308</v>
      </c>
      <c r="C10" s="18">
        <f>SUMPRODUCT(Tracker!$F$9:$F$31,'Plan calc'!H$4:H$26)/Tracker!$F$32</f>
        <v>0.479057591623037</v>
      </c>
      <c r="D10" s="21"/>
      <c r="E10" s="26" t="str">
        <f t="shared" si="1"/>
        <v/>
      </c>
      <c r="F10" s="27"/>
    </row>
    <row r="11" ht="21.0" customHeight="1">
      <c r="A11" s="8">
        <v>6.0</v>
      </c>
      <c r="B11" s="11">
        <f>Tracker!$C$4+(6-1)*7</f>
        <v>46315</v>
      </c>
      <c r="C11" s="18">
        <f>SUMPRODUCT(Tracker!$F$9:$F$31,'Plan calc'!I$4:I$26)/Tracker!$F$32</f>
        <v>0.568935427574171</v>
      </c>
      <c r="D11" s="21"/>
      <c r="E11" s="26" t="str">
        <f t="shared" si="1"/>
        <v/>
      </c>
      <c r="F11" s="27"/>
    </row>
    <row r="12" ht="21.0" customHeight="1">
      <c r="A12" s="8">
        <v>7.0</v>
      </c>
      <c r="B12" s="11">
        <f>Tracker!$C$4+(7-1)*7</f>
        <v>46322</v>
      </c>
      <c r="C12" s="18">
        <f>SUMPRODUCT(Tracker!$F$9:$F$31,'Plan calc'!J$4:J$26)/Tracker!$F$32</f>
        <v>0.658813263525305</v>
      </c>
      <c r="D12" s="21"/>
      <c r="E12" s="26" t="str">
        <f t="shared" si="1"/>
        <v/>
      </c>
      <c r="F12" s="27"/>
    </row>
    <row r="13" ht="21.0" customHeight="1">
      <c r="A13" s="8">
        <v>8.0</v>
      </c>
      <c r="B13" s="11">
        <f>Tracker!$C$4+(8-1)*7</f>
        <v>46329</v>
      </c>
      <c r="C13" s="18">
        <f>SUMPRODUCT(Tracker!$F$9:$F$31,'Plan calc'!K$4:K$26)/Tracker!$F$32</f>
        <v>0.774869109947644</v>
      </c>
      <c r="D13" s="21"/>
      <c r="E13" s="26" t="str">
        <f t="shared" si="1"/>
        <v/>
      </c>
      <c r="F13" s="27"/>
    </row>
    <row r="14" ht="21.0" customHeight="1">
      <c r="A14" s="8">
        <v>9.0</v>
      </c>
      <c r="B14" s="11">
        <f>Tracker!$C$4+(9-1)*7</f>
        <v>46336</v>
      </c>
      <c r="C14" s="18">
        <f>SUMPRODUCT(Tracker!$F$9:$F$31,'Plan calc'!L$4:L$26)/Tracker!$F$32</f>
        <v>0.893542757417103</v>
      </c>
      <c r="D14" s="21"/>
      <c r="E14" s="26" t="str">
        <f t="shared" si="1"/>
        <v/>
      </c>
      <c r="F14" s="27"/>
    </row>
    <row r="15" ht="21.0" customHeight="1">
      <c r="A15" s="8">
        <v>10.0</v>
      </c>
      <c r="B15" s="11">
        <f>Tracker!$C$4+(10-1)*7</f>
        <v>46343</v>
      </c>
      <c r="C15" s="18">
        <f>SUMPRODUCT(Tracker!$F$9:$F$31,'Plan calc'!M$4:M$26)/Tracker!$F$32</f>
        <v>0.954624781849913</v>
      </c>
      <c r="D15" s="21"/>
      <c r="E15" s="26" t="str">
        <f t="shared" si="1"/>
        <v/>
      </c>
      <c r="F15" s="27"/>
    </row>
    <row r="16" ht="21.0" customHeight="1">
      <c r="A16" s="8">
        <v>11.0</v>
      </c>
      <c r="B16" s="11">
        <f>Tracker!$C$4+(11-1)*7</f>
        <v>46350</v>
      </c>
      <c r="C16" s="18">
        <f>SUMPRODUCT(Tracker!$F$9:$F$31,'Plan calc'!N$4:N$26)/Tracker!$F$32</f>
        <v>1</v>
      </c>
      <c r="D16" s="21"/>
      <c r="E16" s="26" t="str">
        <f t="shared" si="1"/>
        <v/>
      </c>
      <c r="F16" s="27"/>
    </row>
    <row r="17" ht="21.0" customHeight="1">
      <c r="A17" s="8">
        <v>12.0</v>
      </c>
      <c r="B17" s="11">
        <f>Tracker!$C$4+(12-1)*7</f>
        <v>46357</v>
      </c>
      <c r="C17" s="18">
        <f>SUMPRODUCT(Tracker!$F$9:$F$31,'Plan calc'!O$4:O$26)/Tracker!$F$32</f>
        <v>1</v>
      </c>
      <c r="D17" s="21"/>
      <c r="E17" s="26" t="str">
        <f t="shared" si="1"/>
        <v/>
      </c>
      <c r="F17" s="27"/>
    </row>
    <row r="18" ht="21.0" customHeight="1">
      <c r="A18" s="8">
        <v>13.0</v>
      </c>
      <c r="B18" s="11">
        <f>Tracker!$C$4+(13-1)*7</f>
        <v>46364</v>
      </c>
      <c r="C18" s="18">
        <f>SUMPRODUCT(Tracker!$F$9:$F$31,'Plan calc'!P$4:P$26)/Tracker!$F$32</f>
        <v>1</v>
      </c>
      <c r="D18" s="21"/>
      <c r="E18" s="26" t="str">
        <f t="shared" si="1"/>
        <v/>
      </c>
      <c r="F18" s="2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5:E18">
    <cfRule type="cellIs" dxfId="0" priority="1" operator="lessThan">
      <formula>-2</formula>
    </cfRule>
  </conditionalFormatting>
  <conditionalFormatting sqref="E5:E18">
    <cfRule type="cellIs" dxfId="1" priority="2" operator="greaterThan">
      <formula>2</formula>
    </cfRule>
  </conditionalFormatting>
  <printOptions/>
  <pageMargins bottom="1.0" footer="0.0" header="0.0" left="0.75" right="0.75" top="1.0"/>
  <pageSetup fitToHeight="0" orientation="landscape"/>
  <headerFooter>
    <oddFooter>&amp;L Project Owner: Louren Isobel Rubico&amp;R Page &amp;P of 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7C7B"/>
    <pageSetUpPr fitToPage="1"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7.0"/>
    <col customWidth="1" min="2" max="2" width="22.0"/>
    <col customWidth="1" min="3" max="3" width="16.0"/>
    <col customWidth="1" min="4" max="4" width="62.0"/>
    <col customWidth="1" min="5" max="5" width="52.0"/>
    <col customWidth="1" min="6" max="6" width="10.0"/>
    <col customWidth="1" min="7" max="7" width="8.0"/>
    <col customWidth="1" min="8" max="9" width="14.0"/>
    <col customWidth="1" min="10" max="10" width="11.0"/>
    <col customWidth="1" min="11" max="26" width="8.71"/>
  </cols>
  <sheetData>
    <row r="1" ht="36.0" customHeight="1">
      <c r="A1" s="1" t="inlineStr">
        <is>
          <t xml:space="preserve">User Stories: Online Payroll System (OPS)</t>
        </is>
      </c>
      <c r="B1" s="2"/>
      <c r="C1" s="2"/>
      <c r="D1" s="2"/>
      <c r="E1" s="2"/>
      <c r="F1" s="2"/>
      <c r="G1" s="2"/>
      <c r="H1" s="2"/>
      <c r="I1" s="2"/>
      <c r="J1" s="2"/>
    </row>
    <row r="2" ht="21.75" customHeight="1">
      <c r="A2" s="3" t="str">
        <f>"Project Owner: "&amp;Tracker!$C$3&amp;"   |   Pick a Story status from the dropdown; Progress % is calculated from it"</f>
        <v>Project Owner: Thea Consignado   |   Pick a Story status from the dropdown; Progress % is calculated from it</v>
      </c>
      <c r="B2" s="2"/>
      <c r="C2" s="2"/>
      <c r="D2" s="2"/>
      <c r="E2" s="2"/>
      <c r="F2" s="2"/>
      <c r="G2" s="2"/>
      <c r="H2" s="2"/>
      <c r="I2" s="2"/>
      <c r="J2" s="2"/>
    </row>
    <row r="4" ht="30.0" customHeight="1">
      <c r="A4" s="5" t="s">
        <v>21</v>
      </c>
      <c r="B4" s="5" t="s">
        <v>90</v>
      </c>
      <c r="C4" s="5" t="s">
        <v>91</v>
      </c>
      <c r="D4" s="5" t="s">
        <v>92</v>
      </c>
      <c r="E4" s="5" t="s">
        <v>93</v>
      </c>
      <c r="F4" s="5" t="s">
        <v>94</v>
      </c>
      <c r="G4" s="5" t="s">
        <v>22</v>
      </c>
      <c r="H4" s="5" t="s">
        <v>95</v>
      </c>
      <c r="I4" s="5" t="s">
        <v>96</v>
      </c>
      <c r="J4" s="5" t="s">
        <v>33</v>
      </c>
    </row>
    <row r="5" ht="34.5" customHeight="1">
      <c r="A5" s="43" t="inlineStr">
        <is>
          <t xml:space="preserve">US01</t>
        </is>
      </c>
      <c r="B5" s="45" t="inlineStr">
        <is>
          <t xml:space="preserve">Accounts and access</t>
        </is>
      </c>
      <c r="C5" s="46" t="inlineStr">
        <is>
          <t xml:space="preserve">Company Admin</t>
        </is>
      </c>
      <c r="D5" s="47" t="inlineStr">
        <is>
          <t xml:space="preserve">As a Company Admin, I want to log in securely and log out, so that only authorized staff can open payroll data.</t>
        </is>
      </c>
      <c r="E5" s="48" t="inlineStr">
        <is>
          <t xml:space="preserve">Login with email and password; inactive users are blocked; session ends on logout.</t>
        </is>
      </c>
      <c r="F5" s="50" t="inlineStr">
        <is>
          <t xml:space="preserve">Must</t>
        </is>
      </c>
      <c r="G5" s="51" t="inlineStr">
        <is>
          <t xml:space="preserve">T03</t>
        </is>
      </c>
      <c r="H5" s="56" t="str">
        <f t="array" ref="H5">IFERROR(INDEX(Tracker!$I$9:$I$31,MATCH(G5,Tracker!$A$9:$A$31,0)),"")</f>
        <v>In progress</v>
      </c>
      <c r="I5" s="57" t="inlineStr">
        <is>
          <t xml:space="preserve">In progress</t>
        </is>
      </c>
      <c r="J5" s="60">
        <f>IFERROR(VLOOKUP(I5,Lists!$A$5:$B$8,2,FALSE()),0)</f>
        <v>0.5</v>
      </c>
    </row>
    <row r="6" ht="48.0" customHeight="1">
      <c r="A6" s="43" t="inlineStr">
        <is>
          <t xml:space="preserve">US02</t>
        </is>
      </c>
      <c r="B6" s="45" t="inlineStr">
        <is>
          <t xml:space="preserve">Accounts and access</t>
        </is>
      </c>
      <c r="C6" s="46" t="inlineStr">
        <is>
          <t xml:space="preserve">Any user</t>
        </is>
      </c>
      <c r="D6" s="47" t="inlineStr">
        <is>
          <t xml:space="preserve">As a user, I want to reset a forgotten password by email, so that I can regain access without calling support.</t>
        </is>
      </c>
      <c r="E6" s="48" t="inlineStr">
        <is>
          <t xml:space="preserve">Forgot password sends a reset link; reset page validates the token and password rules.</t>
        </is>
      </c>
      <c r="F6" s="50" t="inlineStr">
        <is>
          <t xml:space="preserve">Must</t>
        </is>
      </c>
      <c r="G6" s="51" t="inlineStr">
        <is>
          <t xml:space="preserve">T03</t>
        </is>
      </c>
      <c r="H6" s="56" t="str">
        <f t="array" ref="H6">IFERROR(INDEX(Tracker!$I$9:$I$31,MATCH(G6,Tracker!$A$9:$A$31,0)),"")</f>
        <v>In progress</v>
      </c>
      <c r="I6" s="57" t="inlineStr">
        <is>
          <t xml:space="preserve">In progress</t>
        </is>
      </c>
      <c r="J6" s="60">
        <f>IFERROR(VLOOKUP(I6,Lists!$A$5:$B$8,2,FALSE()),0)</f>
        <v>0.5</v>
      </c>
    </row>
    <row r="7" ht="34.5" customHeight="1">
      <c r="A7" s="43" t="inlineStr">
        <is>
          <t xml:space="preserve">US03</t>
        </is>
      </c>
      <c r="B7" s="45" t="inlineStr">
        <is>
          <t xml:space="preserve">Accounts and access</t>
        </is>
      </c>
      <c r="C7" s="46" t="inlineStr">
        <is>
          <t xml:space="preserve">Company Admin</t>
        </is>
      </c>
      <c r="D7" s="47" t="inlineStr">
        <is>
          <t xml:space="preserve">As a Company Admin, I want to assign a role to each user (HR, Payroll, Manager, Employee), so that people only see what they need.</t>
        </is>
      </c>
      <c r="E7" s="48" t="inlineStr">
        <is>
          <t xml:space="preserve">Each role has a fixed permission list; unauthorized pages show a Forbidden page.</t>
        </is>
      </c>
      <c r="F7" s="50" t="inlineStr">
        <is>
          <t xml:space="preserve">Must</t>
        </is>
      </c>
      <c r="G7" s="51" t="inlineStr">
        <is>
          <t xml:space="preserve">T03</t>
        </is>
      </c>
      <c r="H7" s="56" t="str">
        <f t="array" ref="H7">IFERROR(INDEX(Tracker!$I$9:$I$31,MATCH(G7,Tracker!$A$9:$A$31,0)),"")</f>
        <v>In progress</v>
      </c>
      <c r="I7" s="57" t="inlineStr">
        <is>
          <t xml:space="preserve">In progress</t>
        </is>
      </c>
      <c r="J7" s="60">
        <f>IFERROR(VLOOKUP(I7,Lists!$A$5:$B$8,2,FALSE()),0)</f>
        <v>0.5</v>
      </c>
    </row>
    <row r="8" ht="34.5" customHeight="1">
      <c r="A8" s="43" t="inlineStr">
        <is>
          <t xml:space="preserve">US04</t>
        </is>
      </c>
      <c r="B8" s="45" t="inlineStr">
        <is>
          <t xml:space="preserve">Accounts and access</t>
        </is>
      </c>
      <c r="C8" s="46" t="inlineStr">
        <is>
          <t xml:space="preserve">Company Admin</t>
        </is>
      </c>
      <c r="D8" s="47" t="inlineStr">
        <is>
          <t xml:space="preserve">As a Company Admin, I want to create users and edit their roles and permissions, so that access follows our org changes.</t>
        </is>
      </c>
      <c r="E8" s="48" t="inlineStr">
        <is>
          <t xml:space="preserve">Add, deactivate and edit users; permission changes apply on next request.</t>
        </is>
      </c>
      <c r="F8" s="50" t="inlineStr">
        <is>
          <t xml:space="preserve">Must</t>
        </is>
      </c>
      <c r="G8" s="51" t="inlineStr">
        <is>
          <t xml:space="preserve">T04</t>
        </is>
      </c>
      <c r="H8" s="56" t="str">
        <f t="array" ref="H8">IFERROR(INDEX(Tracker!$I$9:$I$31,MATCH(G8,Tracker!$A$9:$A$31,0)),"")</f>
        <v>In progress</v>
      </c>
      <c r="I8" s="57" t="inlineStr">
        <is>
          <t xml:space="preserve">In progress</t>
        </is>
      </c>
      <c r="J8" s="60">
        <f>IFERROR(VLOOKUP(I8,Lists!$A$5:$B$8,2,FALSE()),0)</f>
        <v>0.5</v>
      </c>
    </row>
    <row r="9" ht="48.0" customHeight="1">
      <c r="A9" s="43" t="inlineStr">
        <is>
          <t xml:space="preserve">US05</t>
        </is>
      </c>
      <c r="B9" s="45" t="inlineStr">
        <is>
          <t xml:space="preserve">Accounts and access</t>
        </is>
      </c>
      <c r="C9" s="46" t="inlineStr">
        <is>
          <t xml:space="preserve">Company Admin</t>
        </is>
      </c>
      <c r="D9" s="47" t="inlineStr">
        <is>
          <t xml:space="preserve">As a Company Admin, I want an activity log of key actions, so that I can audit who changed what.</t>
        </is>
      </c>
      <c r="E9" s="48" t="inlineStr">
        <is>
          <t xml:space="preserve">Log shows user, action, target and time for employee, payroll and settings changes.</t>
        </is>
      </c>
      <c r="F9" s="50" t="inlineStr">
        <is>
          <t xml:space="preserve">Should</t>
        </is>
      </c>
      <c r="G9" s="51" t="inlineStr">
        <is>
          <t xml:space="preserve">T04</t>
        </is>
      </c>
      <c r="H9" s="56" t="str">
        <f t="array" ref="H9">IFERROR(INDEX(Tracker!$I$9:$I$31,MATCH(G9,Tracker!$A$9:$A$31,0)),"")</f>
        <v>In progress</v>
      </c>
      <c r="I9" s="57" t="inlineStr">
        <is>
          <t xml:space="preserve">In progress</t>
        </is>
      </c>
      <c r="J9" s="60">
        <f>IFERROR(VLOOKUP(I9,Lists!$A$5:$B$8,2,FALSE()),0)</f>
        <v>0.5</v>
      </c>
    </row>
    <row r="10" ht="34.5" customHeight="1">
      <c r="A10" s="43" t="inlineStr">
        <is>
          <t xml:space="preserve">US06</t>
        </is>
      </c>
      <c r="B10" s="45" t="inlineStr">
        <is>
          <t xml:space="preserve">Company setup</t>
        </is>
      </c>
      <c r="C10" s="46" t="inlineStr">
        <is>
          <t xml:space="preserve">Company Admin</t>
        </is>
      </c>
      <c r="D10" s="47" t="inlineStr">
        <is>
          <t xml:space="preserve">As a Company Admin, I want to set company information and payroll settings, so that payroll follows our policy.</t>
        </is>
      </c>
      <c r="E10" s="48" t="inlineStr">
        <is>
          <t xml:space="preserve">Company details, pay frequency, rates and rules saved per company.</t>
        </is>
      </c>
      <c r="F10" s="50" t="inlineStr">
        <is>
          <t xml:space="preserve">Must</t>
        </is>
      </c>
      <c r="G10" s="51" t="inlineStr">
        <is>
          <t xml:space="preserve">T05</t>
        </is>
      </c>
      <c r="H10" s="56" t="str">
        <f t="array" ref="H10">IFERROR(INDEX(Tracker!$I$9:$I$31,MATCH(G10,Tracker!$A$9:$A$31,0)),"")</f>
        <v>In progress</v>
      </c>
      <c r="I10" s="57" t="inlineStr">
        <is>
          <t xml:space="preserve">In progress</t>
        </is>
      </c>
      <c r="J10" s="60">
        <f>IFERROR(VLOOKUP(I10,Lists!$A$5:$B$8,2,FALSE()),0)</f>
        <v>0.5</v>
      </c>
    </row>
    <row r="11" ht="34.5" customHeight="1">
      <c r="A11" s="43" t="inlineStr">
        <is>
          <t xml:space="preserve">US07</t>
        </is>
      </c>
      <c r="B11" s="45" t="inlineStr">
        <is>
          <t xml:space="preserve">Company setup</t>
        </is>
      </c>
      <c r="C11" s="46" t="inlineStr">
        <is>
          <t xml:space="preserve">Company Admin</t>
        </is>
      </c>
      <c r="D11" s="47" t="inlineStr">
        <is>
          <t xml:space="preserve">As a Company Admin, I want to manage holidays, so that holiday pay is computed correctly.</t>
        </is>
      </c>
      <c r="E11" s="48" t="inlineStr">
        <is>
          <t xml:space="preserve">Add regular and special holidays; payroll reads them by date.</t>
        </is>
      </c>
      <c r="F11" s="50" t="inlineStr">
        <is>
          <t xml:space="preserve">Should</t>
        </is>
      </c>
      <c r="G11" s="51" t="inlineStr">
        <is>
          <t xml:space="preserve">T05</t>
        </is>
      </c>
      <c r="H11" s="56" t="str">
        <f t="array" ref="H11">IFERROR(INDEX(Tracker!$I$9:$I$31,MATCH(G11,Tracker!$A$9:$A$31,0)),"")</f>
        <v>In progress</v>
      </c>
      <c r="I11" s="57" t="inlineStr">
        <is>
          <t xml:space="preserve">In progress</t>
        </is>
      </c>
      <c r="J11" s="60">
        <f>IFERROR(VLOOKUP(I11,Lists!$A$5:$B$8,2,FALSE()),0)</f>
        <v>0.5</v>
      </c>
    </row>
    <row r="12" ht="34.5" customHeight="1">
      <c r="A12" s="43" t="inlineStr">
        <is>
          <t xml:space="preserve">US08</t>
        </is>
      </c>
      <c r="B12" s="45" t="inlineStr">
        <is>
          <t xml:space="preserve">Company setup</t>
        </is>
      </c>
      <c r="C12" s="46" t="inlineStr">
        <is>
          <t xml:space="preserve">Company Admin</t>
        </is>
      </c>
      <c r="D12" s="47" t="inlineStr">
        <is>
          <t xml:space="preserve">As a Company Admin, I want to manage branches and follow an onboarding checklist, so that a new company is ready for payroll.</t>
        </is>
      </c>
      <c r="E12" s="48" t="inlineStr">
        <is>
          <t xml:space="preserve">Branch CRUD; checklist shows steps done and marks Ready for Payroll.</t>
        </is>
      </c>
      <c r="F12" s="50" t="inlineStr">
        <is>
          <t xml:space="preserve">Should</t>
        </is>
      </c>
      <c r="G12" s="51" t="inlineStr">
        <is>
          <t xml:space="preserve">T06</t>
        </is>
      </c>
      <c r="H12" s="56" t="str">
        <f t="array" ref="H12">IFERROR(INDEX(Tracker!$I$9:$I$31,MATCH(G12,Tracker!$A$9:$A$31,0)),"")</f>
        <v>In progress</v>
      </c>
      <c r="I12" s="57" t="inlineStr">
        <is>
          <t xml:space="preserve">In progress</t>
        </is>
      </c>
      <c r="J12" s="60">
        <f>IFERROR(VLOOKUP(I12,Lists!$A$5:$B$8,2,FALSE()),0)</f>
        <v>0.5</v>
      </c>
    </row>
    <row r="13" ht="34.5" customHeight="1">
      <c r="A13" s="43" t="inlineStr">
        <is>
          <t xml:space="preserve">US09</t>
        </is>
      </c>
      <c r="B13" s="45" t="inlineStr">
        <is>
          <t xml:space="preserve">Employees</t>
        </is>
      </c>
      <c r="C13" s="46" t="inlineStr">
        <is>
          <t xml:space="preserve">HR Admin</t>
        </is>
      </c>
      <c r="D13" s="47" t="inlineStr">
        <is>
          <t xml:space="preserve">As an HR Admin, I want a searchable employee list, so that I can find any employee quickly.</t>
        </is>
      </c>
      <c r="E13" s="48" t="inlineStr">
        <is>
          <t xml:space="preserve">Search and filters by branch, status and department; data limited to own company.</t>
        </is>
      </c>
      <c r="F13" s="50" t="inlineStr">
        <is>
          <t xml:space="preserve">Must</t>
        </is>
      </c>
      <c r="G13" s="51" t="inlineStr">
        <is>
          <t xml:space="preserve">T07</t>
        </is>
      </c>
      <c r="H13" s="56" t="str">
        <f t="array" ref="H13">IFERROR(INDEX(Tracker!$I$9:$I$31,MATCH(G13,Tracker!$A$9:$A$31,0)),"")</f>
        <v>In progress</v>
      </c>
      <c r="I13" s="57" t="inlineStr">
        <is>
          <t xml:space="preserve">In progress</t>
        </is>
      </c>
      <c r="J13" s="60">
        <f>IFERROR(VLOOKUP(I13,Lists!$A$5:$B$8,2,FALSE()),0)</f>
        <v>0.5</v>
      </c>
    </row>
    <row r="14" ht="34.5" customHeight="1">
      <c r="A14" s="43" t="inlineStr">
        <is>
          <t xml:space="preserve">US10</t>
        </is>
      </c>
      <c r="B14" s="45" t="inlineStr">
        <is>
          <t xml:space="preserve">Employees</t>
        </is>
      </c>
      <c r="C14" s="46" t="inlineStr">
        <is>
          <t xml:space="preserve">HR Admin</t>
        </is>
      </c>
      <c r="D14" s="47" t="inlineStr">
        <is>
          <t xml:space="preserve">As an HR Admin, I want to add and edit an employee profile, so that records stay accurate.</t>
        </is>
      </c>
      <c r="E14" s="48" t="inlineStr">
        <is>
          <t xml:space="preserve">Required fields validated; create and update are saved and written to the activity log.</t>
        </is>
      </c>
      <c r="F14" s="50" t="inlineStr">
        <is>
          <t xml:space="preserve">Must</t>
        </is>
      </c>
      <c r="G14" s="51" t="inlineStr">
        <is>
          <t xml:space="preserve">T07</t>
        </is>
      </c>
      <c r="H14" s="56" t="str">
        <f t="array" ref="H14">IFERROR(INDEX(Tracker!$I$9:$I$31,MATCH(G14,Tracker!$A$9:$A$31,0)),"")</f>
        <v>In progress</v>
      </c>
      <c r="I14" s="57" t="inlineStr">
        <is>
          <t xml:space="preserve">In progress</t>
        </is>
      </c>
      <c r="J14" s="60">
        <f>IFERROR(VLOOKUP(I14,Lists!$A$5:$B$8,2,FALSE()),0)</f>
        <v>0.5</v>
      </c>
    </row>
    <row r="15" ht="34.5" customHeight="1">
      <c r="A15" s="43" t="inlineStr">
        <is>
          <t xml:space="preserve">US11</t>
        </is>
      </c>
      <c r="B15" s="45" t="inlineStr">
        <is>
          <t xml:space="preserve">Employees</t>
        </is>
      </c>
      <c r="C15" s="46" t="inlineStr">
        <is>
          <t xml:space="preserve">HR Admin</t>
        </is>
      </c>
      <c r="D15" s="47" t="inlineStr">
        <is>
          <t xml:space="preserve">As an HR Admin, I want to import employees from a file, so that I do not retype the whole roster.</t>
        </is>
      </c>
      <c r="E15" s="48" t="inlineStr">
        <is>
          <t xml:space="preserve">Import validates rows and reports errors before saving.</t>
        </is>
      </c>
      <c r="F15" s="50" t="inlineStr">
        <is>
          <t xml:space="preserve">Should</t>
        </is>
      </c>
      <c r="G15" s="51" t="inlineStr">
        <is>
          <t xml:space="preserve">T07</t>
        </is>
      </c>
      <c r="H15" s="56" t="str">
        <f t="array" ref="H15">IFERROR(INDEX(Tracker!$I$9:$I$31,MATCH(G15,Tracker!$A$9:$A$31,0)),"")</f>
        <v>In progress</v>
      </c>
      <c r="I15" s="57" t="inlineStr">
        <is>
          <t xml:space="preserve">In progress</t>
        </is>
      </c>
      <c r="J15" s="60">
        <f>IFERROR(VLOOKUP(I15,Lists!$A$5:$B$8,2,FALSE()),0)</f>
        <v>0.5</v>
      </c>
    </row>
    <row r="16" ht="34.5" customHeight="1">
      <c r="A16" s="43" t="inlineStr">
        <is>
          <t xml:space="preserve">US12</t>
        </is>
      </c>
      <c r="B16" s="45" t="inlineStr">
        <is>
          <t xml:space="preserve">Employees</t>
        </is>
      </c>
      <c r="C16" s="46" t="inlineStr">
        <is>
          <t xml:space="preserve">Payroll Admin</t>
        </is>
      </c>
      <c r="D16" s="47" t="inlineStr">
        <is>
          <t xml:space="preserve">As a Payroll Admin, I want to set each employee's pay rate and compensation type, so that payroll computes the right amount.</t>
        </is>
      </c>
      <c r="E16" s="48" t="inlineStr">
        <is>
          <t xml:space="preserve">Monthly, daily, hourly and output-based rates supported; changes need permission.</t>
        </is>
      </c>
      <c r="F16" s="50" t="inlineStr">
        <is>
          <t xml:space="preserve">Must</t>
        </is>
      </c>
      <c r="G16" s="51" t="inlineStr">
        <is>
          <t xml:space="preserve">T07</t>
        </is>
      </c>
      <c r="H16" s="56" t="str">
        <f t="array" ref="H16">IFERROR(INDEX(Tracker!$I$9:$I$31,MATCH(G16,Tracker!$A$9:$A$31,0)),"")</f>
        <v>In progress</v>
      </c>
      <c r="I16" s="57" t="inlineStr">
        <is>
          <t xml:space="preserve">In progress</t>
        </is>
      </c>
      <c r="J16" s="60">
        <f>IFERROR(VLOOKUP(I16,Lists!$A$5:$B$8,2,FALSE()),0)</f>
        <v>0.5</v>
      </c>
    </row>
    <row r="17" ht="34.5" customHeight="1">
      <c r="A17" s="43" t="inlineStr">
        <is>
          <t xml:space="preserve">US13</t>
        </is>
      </c>
      <c r="B17" s="45" t="inlineStr">
        <is>
          <t xml:space="preserve">Attendance and schedules</t>
        </is>
      </c>
      <c r="C17" s="46" t="inlineStr">
        <is>
          <t xml:space="preserve">HR Admin</t>
        </is>
      </c>
      <c r="D17" s="47" t="inlineStr">
        <is>
          <t xml:space="preserve">As an HR Admin, I want to view and filter attendance records, so that I can check who worked and when.</t>
        </is>
      </c>
      <c r="E17" s="48" t="inlineStr">
        <is>
          <t xml:space="preserve">Records by date, employee and status with late/absent/overtime flags.</t>
        </is>
      </c>
      <c r="F17" s="50" t="inlineStr">
        <is>
          <t xml:space="preserve">Must</t>
        </is>
      </c>
      <c r="G17" s="51" t="inlineStr">
        <is>
          <t xml:space="preserve">T08</t>
        </is>
      </c>
      <c r="H17" s="56" t="str">
        <f t="array" ref="H17">IFERROR(INDEX(Tracker!$I$9:$I$31,MATCH(G17,Tracker!$A$9:$A$31,0)),"")</f>
        <v>In progress</v>
      </c>
      <c r="I17" s="57" t="inlineStr">
        <is>
          <t xml:space="preserve">In progress</t>
        </is>
      </c>
      <c r="J17" s="60">
        <f>IFERROR(VLOOKUP(I17,Lists!$A$5:$B$8,2,FALSE()),0)</f>
        <v>0.5</v>
      </c>
    </row>
    <row r="18" ht="34.5" customHeight="1">
      <c r="A18" s="43" t="inlineStr">
        <is>
          <t xml:space="preserve">US14</t>
        </is>
      </c>
      <c r="B18" s="45" t="inlineStr">
        <is>
          <t xml:space="preserve">Attendance and schedules</t>
        </is>
      </c>
      <c r="C18" s="46" t="inlineStr">
        <is>
          <t xml:space="preserve">HR Admin</t>
        </is>
      </c>
      <c r="D18" s="47" t="inlineStr">
        <is>
          <t xml:space="preserve">As an HR Admin, I want to adjust attendance with a reason, so that errors are corrected with a trail.</t>
        </is>
      </c>
      <c r="E18" s="48" t="inlineStr">
        <is>
          <t xml:space="preserve">Adjustment needs a reason and is logged and approvable.</t>
        </is>
      </c>
      <c r="F18" s="50" t="inlineStr">
        <is>
          <t xml:space="preserve">Must</t>
        </is>
      </c>
      <c r="G18" s="51" t="inlineStr">
        <is>
          <t xml:space="preserve">T08</t>
        </is>
      </c>
      <c r="H18" s="56" t="str">
        <f t="array" ref="H18">IFERROR(INDEX(Tracker!$I$9:$I$31,MATCH(G18,Tracker!$A$9:$A$31,0)),"")</f>
        <v>In progress</v>
      </c>
      <c r="I18" s="57" t="inlineStr">
        <is>
          <t xml:space="preserve">In progress</t>
        </is>
      </c>
      <c r="J18" s="60">
        <f>IFERROR(VLOOKUP(I18,Lists!$A$5:$B$8,2,FALSE()),0)</f>
        <v>0.5</v>
      </c>
    </row>
    <row r="19" ht="34.5" customHeight="1">
      <c r="A19" s="43" t="inlineStr">
        <is>
          <t xml:space="preserve">US15</t>
        </is>
      </c>
      <c r="B19" s="45" t="inlineStr">
        <is>
          <t xml:space="preserve">Attendance and schedules</t>
        </is>
      </c>
      <c r="C19" s="46" t="inlineStr">
        <is>
          <t xml:space="preserve">HR Admin</t>
        </is>
      </c>
      <c r="D19" s="47" t="inlineStr">
        <is>
          <t xml:space="preserve">As an HR Admin, I want to import biometric logs, so that attendance is not typed by hand.</t>
        </is>
      </c>
      <c r="E19" s="48" t="inlineStr">
        <is>
          <t xml:space="preserve">Biometric file import maps to employees and flags unmatched rows.</t>
        </is>
      </c>
      <c r="F19" s="50" t="inlineStr">
        <is>
          <t xml:space="preserve">Should</t>
        </is>
      </c>
      <c r="G19" s="51" t="inlineStr">
        <is>
          <t xml:space="preserve">T08</t>
        </is>
      </c>
      <c r="H19" s="56" t="str">
        <f t="array" ref="H19">IFERROR(INDEX(Tracker!$I$9:$I$31,MATCH(G19,Tracker!$A$9:$A$31,0)),"")</f>
        <v>In progress</v>
      </c>
      <c r="I19" s="57" t="inlineStr">
        <is>
          <t xml:space="preserve">In progress</t>
        </is>
      </c>
      <c r="J19" s="60">
        <f>IFERROR(VLOOKUP(I19,Lists!$A$5:$B$8,2,FALSE()),0)</f>
        <v>0.5</v>
      </c>
    </row>
    <row r="20" ht="48.0" customHeight="1">
      <c r="A20" s="43" t="inlineStr">
        <is>
          <t xml:space="preserve">US16</t>
        </is>
      </c>
      <c r="B20" s="45" t="inlineStr">
        <is>
          <t xml:space="preserve">Attendance and schedules</t>
        </is>
      </c>
      <c r="C20" s="46" t="inlineStr">
        <is>
          <t xml:space="preserve">HR Admin</t>
        </is>
      </c>
      <c r="D20" s="47" t="inlineStr">
        <is>
          <t xml:space="preserve">As an HR Admin, I want a roster with shift templates, so that every employee has a schedule.</t>
        </is>
      </c>
      <c r="E20" s="48" t="inlineStr">
        <is>
          <t xml:space="preserve">Assign shifts, rest days and flexible hours; templates reusable.</t>
        </is>
      </c>
      <c r="F20" s="50" t="inlineStr">
        <is>
          <t xml:space="preserve">Must</t>
        </is>
      </c>
      <c r="G20" s="51" t="inlineStr">
        <is>
          <t xml:space="preserve">T09</t>
        </is>
      </c>
      <c r="H20" s="56" t="str">
        <f t="array" ref="H20">IFERROR(INDEX(Tracker!$I$9:$I$31,MATCH(G20,Tracker!$A$9:$A$31,0)),"")</f>
        <v>In progress</v>
      </c>
      <c r="I20" s="57" t="inlineStr">
        <is>
          <t xml:space="preserve">In progress</t>
        </is>
      </c>
      <c r="J20" s="60">
        <f>IFERROR(VLOOKUP(I20,Lists!$A$5:$B$8,2,FALSE()),0)</f>
        <v>0.5</v>
      </c>
    </row>
    <row r="21" ht="34.5" customHeight="1">
      <c r="A21" s="43" t="inlineStr">
        <is>
          <t xml:space="preserve">US17</t>
        </is>
      </c>
      <c r="B21" s="45" t="inlineStr">
        <is>
          <t xml:space="preserve">Attendance and schedules</t>
        </is>
      </c>
      <c r="C21" s="46" t="inlineStr">
        <is>
          <t xml:space="preserve">Manager</t>
        </is>
      </c>
      <c r="D21" s="47" t="inlineStr">
        <is>
          <t xml:space="preserve">As a Manager, I want teams and supervisors set up, so that approvals go to the right person.</t>
        </is>
      </c>
      <c r="E21" s="48" t="inlineStr">
        <is>
          <t xml:space="preserve">Teams have a supervisor; approvals route by team.</t>
        </is>
      </c>
      <c r="F21" s="50" t="inlineStr">
        <is>
          <t xml:space="preserve">Should</t>
        </is>
      </c>
      <c r="G21" s="51" t="inlineStr">
        <is>
          <t xml:space="preserve">T09</t>
        </is>
      </c>
      <c r="H21" s="56" t="str">
        <f t="array" ref="H21">IFERROR(INDEX(Tracker!$I$9:$I$31,MATCH(G21,Tracker!$A$9:$A$31,0)),"")</f>
        <v>In progress</v>
      </c>
      <c r="I21" s="57" t="inlineStr">
        <is>
          <t xml:space="preserve">In progress</t>
        </is>
      </c>
      <c r="J21" s="60">
        <f>IFERROR(VLOOKUP(I21,Lists!$A$5:$B$8,2,FALSE()),0)</f>
        <v>0.5</v>
      </c>
    </row>
    <row r="22" ht="34.5" customHeight="1">
      <c r="A22" s="43" t="inlineStr">
        <is>
          <t xml:space="preserve">US18</t>
        </is>
      </c>
      <c r="B22" s="45" t="inlineStr">
        <is>
          <t xml:space="preserve">Leave, overtime and approvals</t>
        </is>
      </c>
      <c r="C22" s="46" t="inlineStr">
        <is>
          <t xml:space="preserve">HR Admin</t>
        </is>
      </c>
      <c r="D22" s="47" t="inlineStr">
        <is>
          <t xml:space="preserve">As an HR Admin, I want to define leave types and policies, so that leave rules match company policy.</t>
        </is>
      </c>
      <c r="E22" s="48" t="inlineStr">
        <is>
          <t xml:space="preserve">Leave types with credits, accrual and paid/unpaid setting.</t>
        </is>
      </c>
      <c r="F22" s="50" t="inlineStr">
        <is>
          <t xml:space="preserve">Must</t>
        </is>
      </c>
      <c r="G22" s="51" t="inlineStr">
        <is>
          <t xml:space="preserve">T10</t>
        </is>
      </c>
      <c r="H22" s="56" t="str">
        <f t="array" ref="H22">IFERROR(INDEX(Tracker!$I$9:$I$31,MATCH(G22,Tracker!$A$9:$A$31,0)),"")</f>
        <v>In progress</v>
      </c>
      <c r="I22" s="57" t="inlineStr">
        <is>
          <t xml:space="preserve">In progress</t>
        </is>
      </c>
      <c r="J22" s="60">
        <f>IFERROR(VLOOKUP(I22,Lists!$A$5:$B$8,2,FALSE()),0)</f>
        <v>0.5</v>
      </c>
    </row>
    <row r="23" ht="34.5" customHeight="1">
      <c r="A23" s="43" t="inlineStr">
        <is>
          <t xml:space="preserve">US19</t>
        </is>
      </c>
      <c r="B23" s="45" t="inlineStr">
        <is>
          <t xml:space="preserve">Leave, overtime and approvals</t>
        </is>
      </c>
      <c r="C23" s="46" t="inlineStr">
        <is>
          <t xml:space="preserve">Employee</t>
        </is>
      </c>
      <c r="D23" s="47" t="inlineStr">
        <is>
          <t xml:space="preserve">As an Employee, I want to file a leave request and see my balance, so that I know my remaining leave.</t>
        </is>
      </c>
      <c r="E23" s="48" t="inlineStr">
        <is>
          <t xml:space="preserve">Request shows balance; status updates on approval or rejection.</t>
        </is>
      </c>
      <c r="F23" s="50" t="inlineStr">
        <is>
          <t xml:space="preserve">Must</t>
        </is>
      </c>
      <c r="G23" s="51" t="inlineStr">
        <is>
          <t xml:space="preserve">T10</t>
        </is>
      </c>
      <c r="H23" s="56" t="str">
        <f t="array" ref="H23">IFERROR(INDEX(Tracker!$I$9:$I$31,MATCH(G23,Tracker!$A$9:$A$31,0)),"")</f>
        <v>In progress</v>
      </c>
      <c r="I23" s="57" t="inlineStr">
        <is>
          <t xml:space="preserve">In progress</t>
        </is>
      </c>
      <c r="J23" s="60">
        <f>IFERROR(VLOOKUP(I23,Lists!$A$5:$B$8,2,FALSE()),0)</f>
        <v>0.5</v>
      </c>
    </row>
    <row r="24" ht="34.5" customHeight="1">
      <c r="A24" s="43" t="inlineStr">
        <is>
          <t xml:space="preserve">US20</t>
        </is>
      </c>
      <c r="B24" s="45" t="inlineStr">
        <is>
          <t xml:space="preserve">Leave, overtime and approvals</t>
        </is>
      </c>
      <c r="C24" s="46" t="inlineStr">
        <is>
          <t xml:space="preserve">Manager</t>
        </is>
      </c>
      <c r="D24" s="47" t="inlineStr">
        <is>
          <t xml:space="preserve">As a Manager, I want to approve or reject my team's leave and overtime, so that requests move fast.</t>
        </is>
      </c>
      <c r="E24" s="48" t="inlineStr">
        <is>
          <t xml:space="preserve">Approver sees only subordinates; decision is logged.</t>
        </is>
      </c>
      <c r="F24" s="50" t="inlineStr">
        <is>
          <t xml:space="preserve">Must</t>
        </is>
      </c>
      <c r="G24" s="51" t="inlineStr">
        <is>
          <t xml:space="preserve">T10</t>
        </is>
      </c>
      <c r="H24" s="56" t="str">
        <f t="array" ref="H24">IFERROR(INDEX(Tracker!$I$9:$I$31,MATCH(G24,Tracker!$A$9:$A$31,0)),"")</f>
        <v>In progress</v>
      </c>
      <c r="I24" s="57" t="inlineStr">
        <is>
          <t xml:space="preserve">In progress</t>
        </is>
      </c>
      <c r="J24" s="60">
        <f>IFERROR(VLOOKUP(I24,Lists!$A$5:$B$8,2,FALSE()),0)</f>
        <v>0.5</v>
      </c>
    </row>
    <row r="25" ht="48.0" customHeight="1">
      <c r="A25" s="43" t="inlineStr">
        <is>
          <t xml:space="preserve">US21</t>
        </is>
      </c>
      <c r="B25" s="45" t="inlineStr">
        <is>
          <t xml:space="preserve">Leave, overtime and approvals</t>
        </is>
      </c>
      <c r="C25" s="46" t="inlineStr">
        <is>
          <t xml:space="preserve">Employee</t>
        </is>
      </c>
      <c r="D25" s="47" t="inlineStr">
        <is>
          <t xml:space="preserve">As an Employee, I want to file overtime and night differential requests, so that extra hours are paid.</t>
        </is>
      </c>
      <c r="E25" s="48" t="inlineStr">
        <is>
          <t xml:space="preserve">Request has date, hours and reason; approved hours feed payroll.</t>
        </is>
      </c>
      <c r="F25" s="50" t="inlineStr">
        <is>
          <t xml:space="preserve">Must</t>
        </is>
      </c>
      <c r="G25" s="51" t="inlineStr">
        <is>
          <t xml:space="preserve">T11</t>
        </is>
      </c>
      <c r="H25" s="56" t="str">
        <f t="array" ref="H25">IFERROR(INDEX(Tracker!$I$9:$I$31,MATCH(G25,Tracker!$A$9:$A$31,0)),"")</f>
        <v>In progress</v>
      </c>
      <c r="I25" s="57" t="inlineStr">
        <is>
          <t xml:space="preserve">In progress</t>
        </is>
      </c>
      <c r="J25" s="60">
        <f>IFERROR(VLOOKUP(I25,Lists!$A$5:$B$8,2,FALSE()),0)</f>
        <v>0.5</v>
      </c>
    </row>
    <row r="26" ht="34.5" customHeight="1">
      <c r="A26" s="43" t="inlineStr">
        <is>
          <t xml:space="preserve">US22</t>
        </is>
      </c>
      <c r="B26" s="45" t="inlineStr">
        <is>
          <t xml:space="preserve">Leave, overtime and approvals</t>
        </is>
      </c>
      <c r="C26" s="46" t="inlineStr">
        <is>
          <t xml:space="preserve">Payroll Admin</t>
        </is>
      </c>
      <c r="D26" s="47" t="inlineStr">
        <is>
          <t xml:space="preserve">As a Payroll Admin, I want to review hourly and output approvals, so that only approved work is paid.</t>
        </is>
      </c>
      <c r="E26" s="48" t="inlineStr">
        <is>
          <t xml:space="preserve">Approval queue with approve/reject and totals per employee.</t>
        </is>
      </c>
      <c r="F26" s="50" t="inlineStr">
        <is>
          <t xml:space="preserve">Must</t>
        </is>
      </c>
      <c r="G26" s="51" t="inlineStr">
        <is>
          <t xml:space="preserve">T12</t>
        </is>
      </c>
      <c r="H26" s="56" t="str">
        <f t="array" ref="H26">IFERROR(INDEX(Tracker!$I$9:$I$31,MATCH(G26,Tracker!$A$9:$A$31,0)),"")</f>
        <v>In progress</v>
      </c>
      <c r="I26" s="57" t="inlineStr">
        <is>
          <t xml:space="preserve">In progress</t>
        </is>
      </c>
      <c r="J26" s="60">
        <f>IFERROR(VLOOKUP(I26,Lists!$A$5:$B$8,2,FALSE()),0)</f>
        <v>0.5</v>
      </c>
    </row>
    <row r="27" ht="34.5" customHeight="1">
      <c r="A27" s="43" t="inlineStr">
        <is>
          <t xml:space="preserve">US23</t>
        </is>
      </c>
      <c r="B27" s="45" t="inlineStr">
        <is>
          <t xml:space="preserve">Leave, overtime and approvals</t>
        </is>
      </c>
      <c r="C27" s="46" t="inlineStr">
        <is>
          <t xml:space="preserve">Payroll Admin</t>
        </is>
      </c>
      <c r="D27" s="47" t="inlineStr">
        <is>
          <t xml:space="preserve">As a Payroll Admin, I want to see pending approvals on one screen, so that nothing blocks the payroll run.</t>
        </is>
      </c>
      <c r="E27" s="48" t="inlineStr">
        <is>
          <t xml:space="preserve">Pending counts shown by type with links to each item.</t>
        </is>
      </c>
      <c r="F27" s="50" t="inlineStr">
        <is>
          <t xml:space="preserve">Should</t>
        </is>
      </c>
      <c r="G27" s="51" t="inlineStr">
        <is>
          <t xml:space="preserve">T12</t>
        </is>
      </c>
      <c r="H27" s="56" t="str">
        <f t="array" ref="H27">IFERROR(INDEX(Tracker!$I$9:$I$31,MATCH(G27,Tracker!$A$9:$A$31,0)),"")</f>
        <v>In progress</v>
      </c>
      <c r="I27" s="57" t="inlineStr">
        <is>
          <t xml:space="preserve">In progress</t>
        </is>
      </c>
      <c r="J27" s="60">
        <f>IFERROR(VLOOKUP(I27,Lists!$A$5:$B$8,2,FALSE()),0)</f>
        <v>0.5</v>
      </c>
    </row>
    <row r="28" ht="34.5" customHeight="1">
      <c r="A28" s="43" t="inlineStr">
        <is>
          <t xml:space="preserve">US24</t>
        </is>
      </c>
      <c r="B28" s="45" t="inlineStr">
        <is>
          <t xml:space="preserve">Loans, deductions and statutory</t>
        </is>
      </c>
      <c r="C28" s="46" t="inlineStr">
        <is>
          <t xml:space="preserve">Payroll Admin</t>
        </is>
      </c>
      <c r="D28" s="47" t="inlineStr">
        <is>
          <t xml:space="preserve">As a Payroll Admin, I want to manage benefits and allowances, so that they appear in payslips.</t>
        </is>
      </c>
      <c r="E28" s="48" t="inlineStr">
        <is>
          <t xml:space="preserve">Benefit types and employee assignments with amounts.</t>
        </is>
      </c>
      <c r="F28" s="50" t="inlineStr">
        <is>
          <t xml:space="preserve">Should</t>
        </is>
      </c>
      <c r="G28" s="51" t="inlineStr">
        <is>
          <t xml:space="preserve">T13</t>
        </is>
      </c>
      <c r="H28" s="56" t="str">
        <f t="array" ref="H28">IFERROR(INDEX(Tracker!$I$9:$I$31,MATCH(G28,Tracker!$A$9:$A$31,0)),"")</f>
        <v>In progress</v>
      </c>
      <c r="I28" s="57" t="inlineStr">
        <is>
          <t xml:space="preserve">In progress</t>
        </is>
      </c>
      <c r="J28" s="60">
        <f>IFERROR(VLOOKUP(I28,Lists!$A$5:$B$8,2,FALSE()),0)</f>
        <v>0.5</v>
      </c>
    </row>
    <row r="29" ht="34.5" customHeight="1">
      <c r="A29" s="43" t="inlineStr">
        <is>
          <t xml:space="preserve">US25</t>
        </is>
      </c>
      <c r="B29" s="45" t="inlineStr">
        <is>
          <t xml:space="preserve">Loans, deductions and statutory</t>
        </is>
      </c>
      <c r="C29" s="46" t="inlineStr">
        <is>
          <t xml:space="preserve">Payroll Admin</t>
        </is>
      </c>
      <c r="D29" s="47" t="inlineStr">
        <is>
          <t xml:space="preserve">As a Payroll Admin, I want to record employee loans and their schedule, so that payments are deducted each period.</t>
        </is>
      </c>
      <c r="E29" s="48" t="inlineStr">
        <is>
          <t xml:space="preserve">Loan types, amortization schedule and remaining balance.</t>
        </is>
      </c>
      <c r="F29" s="50" t="inlineStr">
        <is>
          <t xml:space="preserve">Must</t>
        </is>
      </c>
      <c r="G29" s="51" t="inlineStr">
        <is>
          <t xml:space="preserve">T13</t>
        </is>
      </c>
      <c r="H29" s="56" t="str">
        <f t="array" ref="H29">IFERROR(INDEX(Tracker!$I$9:$I$31,MATCH(G29,Tracker!$A$9:$A$31,0)),"")</f>
        <v>In progress</v>
      </c>
      <c r="I29" s="57" t="inlineStr">
        <is>
          <t xml:space="preserve">In progress</t>
        </is>
      </c>
      <c r="J29" s="60">
        <f>IFERROR(VLOOKUP(I29,Lists!$A$5:$B$8,2,FALSE()),0)</f>
        <v>0.5</v>
      </c>
    </row>
    <row r="30" ht="48.0" customHeight="1">
      <c r="A30" s="43" t="inlineStr">
        <is>
          <t xml:space="preserve">US26</t>
        </is>
      </c>
      <c r="B30" s="45" t="inlineStr">
        <is>
          <t xml:space="preserve">Loans, deductions and statutory</t>
        </is>
      </c>
      <c r="C30" s="46" t="inlineStr">
        <is>
          <t xml:space="preserve">Payroll Admin</t>
        </is>
      </c>
      <c r="D30" s="47" t="inlineStr">
        <is>
          <t xml:space="preserve">As a Payroll Admin, I want recurring and one-time deductions, so that payroll reflects all deductions.</t>
        </is>
      </c>
      <c r="E30" s="48" t="inlineStr">
        <is>
          <t xml:space="preserve">Deductions applied by period and shown on the payslip.</t>
        </is>
      </c>
      <c r="F30" s="50" t="inlineStr">
        <is>
          <t xml:space="preserve">Must</t>
        </is>
      </c>
      <c r="G30" s="51" t="inlineStr">
        <is>
          <t xml:space="preserve">T13</t>
        </is>
      </c>
      <c r="H30" s="56" t="str">
        <f t="array" ref="H30">IFERROR(INDEX(Tracker!$I$9:$I$31,MATCH(G30,Tracker!$A$9:$A$31,0)),"")</f>
        <v>In progress</v>
      </c>
      <c r="I30" s="57" t="inlineStr">
        <is>
          <t xml:space="preserve">In progress</t>
        </is>
      </c>
      <c r="J30" s="60">
        <f>IFERROR(VLOOKUP(I30,Lists!$A$5:$B$8,2,FALSE()),0)</f>
        <v>0.5</v>
      </c>
    </row>
    <row r="31" ht="34.5" customHeight="1">
      <c r="A31" s="43" t="inlineStr">
        <is>
          <t xml:space="preserve">US27</t>
        </is>
      </c>
      <c r="B31" s="45" t="inlineStr">
        <is>
          <t xml:space="preserve">Loans, deductions and statutory</t>
        </is>
      </c>
      <c r="C31" s="46" t="inlineStr">
        <is>
          <t xml:space="preserve">Payroll Admin</t>
        </is>
      </c>
      <c r="D31" s="47" t="inlineStr">
        <is>
          <t xml:space="preserve">As a Payroll Admin, I want configurable SSS, PhilHealth and Pag-IBIG tables, so that contributions follow current rules.</t>
        </is>
      </c>
      <c r="E31" s="48" t="inlineStr">
        <is>
          <t xml:space="preserve">Contribution tables editable and effective-dated; not hard-coded.</t>
        </is>
      </c>
      <c r="F31" s="50" t="inlineStr">
        <is>
          <t xml:space="preserve">Must</t>
        </is>
      </c>
      <c r="G31" s="51" t="inlineStr">
        <is>
          <t xml:space="preserve">T17</t>
        </is>
      </c>
      <c r="H31" s="56" t="str">
        <f t="array" ref="H31">IFERROR(INDEX(Tracker!$I$9:$I$31,MATCH(G31,Tracker!$A$9:$A$31,0)),"")</f>
        <v>In progress</v>
      </c>
      <c r="I31" s="57" t="inlineStr">
        <is>
          <t xml:space="preserve">In progress</t>
        </is>
      </c>
      <c r="J31" s="60">
        <f>IFERROR(VLOOKUP(I31,Lists!$A$5:$B$8,2,FALSE()),0)</f>
        <v>0.5</v>
      </c>
    </row>
    <row r="32" ht="34.5" customHeight="1">
      <c r="A32" s="43" t="inlineStr">
        <is>
          <t xml:space="preserve">US28</t>
        </is>
      </c>
      <c r="B32" s="45" t="inlineStr">
        <is>
          <t xml:space="preserve">Loans, deductions and statutory</t>
        </is>
      </c>
      <c r="C32" s="46" t="inlineStr">
        <is>
          <t xml:space="preserve">Payroll Admin</t>
        </is>
      </c>
      <c r="D32" s="47" t="inlineStr">
        <is>
          <t xml:space="preserve">As a Payroll Admin, I want withholding tax computed automatically, so that taxes are correct per period.</t>
        </is>
      </c>
      <c r="E32" s="48" t="inlineStr">
        <is>
          <t xml:space="preserve">Tax computed from taxable income and shown in the breakdown.</t>
        </is>
      </c>
      <c r="F32" s="50" t="inlineStr">
        <is>
          <t xml:space="preserve">Must</t>
        </is>
      </c>
      <c r="G32" s="51" t="inlineStr">
        <is>
          <t xml:space="preserve">T17</t>
        </is>
      </c>
      <c r="H32" s="56" t="str">
        <f t="array" ref="H32">IFERROR(INDEX(Tracker!$I$9:$I$31,MATCH(G32,Tracker!$A$9:$A$31,0)),"")</f>
        <v>In progress</v>
      </c>
      <c r="I32" s="57" t="inlineStr">
        <is>
          <t xml:space="preserve">In progress</t>
        </is>
      </c>
      <c r="J32" s="60">
        <f>IFERROR(VLOOKUP(I32,Lists!$A$5:$B$8,2,FALSE()),0)</f>
        <v>0.5</v>
      </c>
    </row>
    <row r="33" ht="48.0" customHeight="1">
      <c r="A33" s="43" t="inlineStr">
        <is>
          <t xml:space="preserve">US29</t>
        </is>
      </c>
      <c r="B33" s="45" t="inlineStr">
        <is>
          <t xml:space="preserve">Payroll and payslips</t>
        </is>
      </c>
      <c r="C33" s="46" t="inlineStr">
        <is>
          <t xml:space="preserve">Payroll Admin</t>
        </is>
      </c>
      <c r="D33" s="47" t="inlineStr">
        <is>
          <t xml:space="preserve">As a Payroll Admin, I want to run payroll for a period, so that gross, deductions and net pay are computed for everyone.</t>
        </is>
      </c>
      <c r="E33" s="48" t="inlineStr">
        <is>
          <t xml:space="preserve">Run uses attendance, approvals, loans and statutory; totals per employee.</t>
        </is>
      </c>
      <c r="F33" s="50" t="inlineStr">
        <is>
          <t xml:space="preserve">Must</t>
        </is>
      </c>
      <c r="G33" s="51" t="inlineStr">
        <is>
          <t xml:space="preserve">T14</t>
        </is>
      </c>
      <c r="H33" s="56" t="str">
        <f t="array" ref="H33">IFERROR(INDEX(Tracker!$I$9:$I$31,MATCH(G33,Tracker!$A$9:$A$31,0)),"")</f>
        <v>In progress</v>
      </c>
      <c r="I33" s="57" t="inlineStr">
        <is>
          <t xml:space="preserve">In progress</t>
        </is>
      </c>
      <c r="J33" s="60">
        <f>IFERROR(VLOOKUP(I33,Lists!$A$5:$B$8,2,FALSE()),0)</f>
        <v>0.5</v>
      </c>
    </row>
    <row r="34" ht="34.5" customHeight="1">
      <c r="A34" s="43" t="inlineStr">
        <is>
          <t xml:space="preserve">US30</t>
        </is>
      </c>
      <c r="B34" s="45" t="inlineStr">
        <is>
          <t xml:space="preserve">Payroll and payslips</t>
        </is>
      </c>
      <c r="C34" s="46" t="inlineStr">
        <is>
          <t xml:space="preserve">Payroll Admin</t>
        </is>
      </c>
      <c r="D34" s="47" t="inlineStr">
        <is>
          <t xml:space="preserve">As a Payroll Admin, I want to see the computation breakdown per employee, so that I can explain any figure.</t>
        </is>
      </c>
      <c r="E34" s="48" t="inlineStr">
        <is>
          <t xml:space="preserve">Breakdown lists every earning and deduction line.</t>
        </is>
      </c>
      <c r="F34" s="50" t="inlineStr">
        <is>
          <t xml:space="preserve">Must</t>
        </is>
      </c>
      <c r="G34" s="51" t="inlineStr">
        <is>
          <t xml:space="preserve">T14</t>
        </is>
      </c>
      <c r="H34" s="56" t="str">
        <f t="array" ref="H34">IFERROR(INDEX(Tracker!$I$9:$I$31,MATCH(G34,Tracker!$A$9:$A$31,0)),"")</f>
        <v>In progress</v>
      </c>
      <c r="I34" s="57" t="inlineStr">
        <is>
          <t xml:space="preserve">In progress</t>
        </is>
      </c>
      <c r="J34" s="60">
        <f>IFERROR(VLOOKUP(I34,Lists!$A$5:$B$8,2,FALSE()),0)</f>
        <v>0.5</v>
      </c>
    </row>
    <row r="35" ht="34.5" customHeight="1">
      <c r="A35" s="43" t="inlineStr">
        <is>
          <t xml:space="preserve">US31</t>
        </is>
      </c>
      <c r="B35" s="45" t="inlineStr">
        <is>
          <t xml:space="preserve">Payroll and payslips</t>
        </is>
      </c>
      <c r="C35" s="46" t="inlineStr">
        <is>
          <t xml:space="preserve">Company Admin</t>
        </is>
      </c>
      <c r="D35" s="47" t="inlineStr">
        <is>
          <t xml:space="preserve">As a Company Admin, I want to approve and finalize a payroll run, so that it is locked and trusted.</t>
        </is>
      </c>
      <c r="E35" s="48" t="inlineStr">
        <is>
          <t xml:space="preserve">Approval step; finalized runs cannot be edited.</t>
        </is>
      </c>
      <c r="F35" s="50" t="inlineStr">
        <is>
          <t xml:space="preserve">Must</t>
        </is>
      </c>
      <c r="G35" s="51" t="inlineStr">
        <is>
          <t xml:space="preserve">T14</t>
        </is>
      </c>
      <c r="H35" s="56" t="str">
        <f t="array" ref="H35">IFERROR(INDEX(Tracker!$I$9:$I$31,MATCH(G35,Tracker!$A$9:$A$31,0)),"")</f>
        <v>In progress</v>
      </c>
      <c r="I35" s="57" t="inlineStr">
        <is>
          <t xml:space="preserve">In progress</t>
        </is>
      </c>
      <c r="J35" s="60">
        <f>IFERROR(VLOOKUP(I35,Lists!$A$5:$B$8,2,FALSE()),0)</f>
        <v>0.5</v>
      </c>
    </row>
    <row r="36" ht="48.0" customHeight="1">
      <c r="A36" s="43" t="inlineStr">
        <is>
          <t xml:space="preserve">US32</t>
        </is>
      </c>
      <c r="B36" s="45" t="inlineStr">
        <is>
          <t xml:space="preserve">Payroll and payslips</t>
        </is>
      </c>
      <c r="C36" s="46" t="inlineStr">
        <is>
          <t xml:space="preserve">Payroll Admin</t>
        </is>
      </c>
      <c r="D36" s="47" t="inlineStr">
        <is>
          <t xml:space="preserve">As a Payroll Admin, I want to generate payslips, so that every employee gets a record.</t>
        </is>
      </c>
      <c r="E36" s="48" t="inlineStr">
        <is>
          <t xml:space="preserve">Payslip generated per employee per run; printable.</t>
        </is>
      </c>
      <c r="F36" s="50" t="inlineStr">
        <is>
          <t xml:space="preserve">Must</t>
        </is>
      </c>
      <c r="G36" s="51" t="inlineStr">
        <is>
          <t xml:space="preserve">T15</t>
        </is>
      </c>
      <c r="H36" s="56" t="str">
        <f t="array" ref="H36">IFERROR(INDEX(Tracker!$I$9:$I$31,MATCH(G36,Tracker!$A$9:$A$31,0)),"")</f>
        <v>In progress</v>
      </c>
      <c r="I36" s="57" t="inlineStr">
        <is>
          <t xml:space="preserve">In progress</t>
        </is>
      </c>
      <c r="J36" s="60">
        <f>IFERROR(VLOOKUP(I36,Lists!$A$5:$B$8,2,FALSE()),0)</f>
        <v>0.5</v>
      </c>
    </row>
    <row r="37" ht="34.5" customHeight="1">
      <c r="A37" s="43" t="inlineStr">
        <is>
          <t xml:space="preserve">US33</t>
        </is>
      </c>
      <c r="B37" s="45" t="inlineStr">
        <is>
          <t xml:space="preserve">Payroll and payslips</t>
        </is>
      </c>
      <c r="C37" s="46" t="inlineStr">
        <is>
          <t xml:space="preserve">Payroll Admin</t>
        </is>
      </c>
      <c r="D37" s="47" t="inlineStr">
        <is>
          <t xml:space="preserve">As a Payroll Admin, I want to email payslips to employees, so that distribution is automatic.</t>
        </is>
      </c>
      <c r="E37" s="48" t="inlineStr">
        <is>
          <t xml:space="preserve">Email sent per employee with delivery status.</t>
        </is>
      </c>
      <c r="F37" s="50" t="inlineStr">
        <is>
          <t xml:space="preserve">Should</t>
        </is>
      </c>
      <c r="G37" s="51" t="inlineStr">
        <is>
          <t xml:space="preserve">T15</t>
        </is>
      </c>
      <c r="H37" s="56" t="str">
        <f t="array" ref="H37">IFERROR(INDEX(Tracker!$I$9:$I$31,MATCH(G37,Tracker!$A$9:$A$31,0)),"")</f>
        <v>In progress</v>
      </c>
      <c r="I37" s="57" t="inlineStr">
        <is>
          <t xml:space="preserve">In progress</t>
        </is>
      </c>
      <c r="J37" s="60">
        <f>IFERROR(VLOOKUP(I37,Lists!$A$5:$B$8,2,FALSE()),0)</f>
        <v>0.5</v>
      </c>
    </row>
    <row r="38" ht="34.5" customHeight="1">
      <c r="A38" s="43" t="inlineStr">
        <is>
          <t xml:space="preserve">US34</t>
        </is>
      </c>
      <c r="B38" s="45" t="inlineStr">
        <is>
          <t xml:space="preserve">Bonuses and 13th month</t>
        </is>
      </c>
      <c r="C38" s="46" t="inlineStr">
        <is>
          <t xml:space="preserve">Payroll Admin</t>
        </is>
      </c>
      <c r="D38" s="47" t="inlineStr">
        <is>
          <t xml:space="preserve">As a Payroll Admin, I want to generate bonuses and incentives with payslips, so that they are paid correctly.</t>
        </is>
      </c>
      <c r="E38" s="48" t="inlineStr">
        <is>
          <t xml:space="preserve">Bonus runs per employee with a bonus payslip.</t>
        </is>
      </c>
      <c r="F38" s="50" t="inlineStr">
        <is>
          <t xml:space="preserve">Should</t>
        </is>
      </c>
      <c r="G38" s="51" t="inlineStr">
        <is>
          <t xml:space="preserve">T16</t>
        </is>
      </c>
      <c r="H38" s="56" t="str">
        <f t="array" ref="H38">IFERROR(INDEX(Tracker!$I$9:$I$31,MATCH(G38,Tracker!$A$9:$A$31,0)),"")</f>
        <v>In progress</v>
      </c>
      <c r="I38" s="57" t="inlineStr">
        <is>
          <t xml:space="preserve">In progress</t>
        </is>
      </c>
      <c r="J38" s="60">
        <f>IFERROR(VLOOKUP(I38,Lists!$A$5:$B$8,2,FALSE()),0)</f>
        <v>0.5</v>
      </c>
    </row>
    <row r="39" ht="48.0" customHeight="1">
      <c r="A39" s="43" t="inlineStr">
        <is>
          <t xml:space="preserve">US35</t>
        </is>
      </c>
      <c r="B39" s="45" t="inlineStr">
        <is>
          <t xml:space="preserve">Bonuses and 13th month</t>
        </is>
      </c>
      <c r="C39" s="46" t="inlineStr">
        <is>
          <t xml:space="preserve">Payroll Admin</t>
        </is>
      </c>
      <c r="D39" s="47" t="inlineStr">
        <is>
          <t xml:space="preserve">As a Payroll Admin, I want to generate 13th month pay, so that it is computed from the year's earnings.</t>
        </is>
      </c>
      <c r="E39" s="48" t="inlineStr">
        <is>
          <t xml:space="preserve">13th month run with per-employee payslip.</t>
        </is>
      </c>
      <c r="F39" s="50" t="inlineStr">
        <is>
          <t xml:space="preserve">Must</t>
        </is>
      </c>
      <c r="G39" s="51" t="inlineStr">
        <is>
          <t xml:space="preserve">T16</t>
        </is>
      </c>
      <c r="H39" s="56" t="str">
        <f t="array" ref="H39">IFERROR(INDEX(Tracker!$I$9:$I$31,MATCH(G39,Tracker!$A$9:$A$31,0)),"")</f>
        <v>In progress</v>
      </c>
      <c r="I39" s="57" t="inlineStr">
        <is>
          <t xml:space="preserve">In progress</t>
        </is>
      </c>
      <c r="J39" s="60">
        <f>IFERROR(VLOOKUP(I39,Lists!$A$5:$B$8,2,FALSE()),0)</f>
        <v>0.5</v>
      </c>
    </row>
    <row r="40" ht="34.5" customHeight="1">
      <c r="A40" s="43" t="inlineStr">
        <is>
          <t xml:space="preserve">US36</t>
        </is>
      </c>
      <c r="B40" s="45" t="inlineStr">
        <is>
          <t xml:space="preserve">Reports and dashboard</t>
        </is>
      </c>
      <c r="C40" s="46" t="inlineStr">
        <is>
          <t xml:space="preserve">Company Admin</t>
        </is>
      </c>
      <c r="D40" s="47" t="inlineStr">
        <is>
          <t xml:space="preserve">As a Company Admin, I want a dashboard with summary cards and a payroll calendar, so that I see what needs attention.</t>
        </is>
      </c>
      <c r="E40" s="48" t="inlineStr">
        <is>
          <t xml:space="preserve">Cards, pending requests, payroll summary, recent employees and reminders.</t>
        </is>
      </c>
      <c r="F40" s="50" t="inlineStr">
        <is>
          <t xml:space="preserve">Should</t>
        </is>
      </c>
      <c r="G40" s="51" t="inlineStr">
        <is>
          <t xml:space="preserve">T18</t>
        </is>
      </c>
      <c r="H40" s="56" t="str">
        <f t="array" ref="H40">IFERROR(INDEX(Tracker!$I$9:$I$31,MATCH(G40,Tracker!$A$9:$A$31,0)),"")</f>
        <v>In progress</v>
      </c>
      <c r="I40" s="57" t="inlineStr">
        <is>
          <t xml:space="preserve">In progress</t>
        </is>
      </c>
      <c r="J40" s="60">
        <f>IFERROR(VLOOKUP(I40,Lists!$A$5:$B$8,2,FALSE()),0)</f>
        <v>0.5</v>
      </c>
    </row>
    <row r="41" ht="48.0" customHeight="1">
      <c r="A41" s="43" t="inlineStr">
        <is>
          <t xml:space="preserve">US37</t>
        </is>
      </c>
      <c r="B41" s="45" t="inlineStr">
        <is>
          <t xml:space="preserve">Reports and dashboard</t>
        </is>
      </c>
      <c r="C41" s="46" t="inlineStr">
        <is>
          <t xml:space="preserve">Payroll Admin</t>
        </is>
      </c>
      <c r="D41" s="47" t="inlineStr">
        <is>
          <t xml:space="preserve">As a Payroll Admin, I want to export employee, payroll and statutory reports, so that I can submit and file them.</t>
        </is>
      </c>
      <c r="E41" s="48" t="inlineStr">
        <is>
          <t xml:space="preserve">Reports export to file; filters by period and branch.</t>
        </is>
      </c>
      <c r="F41" s="50" t="inlineStr">
        <is>
          <t xml:space="preserve">Must</t>
        </is>
      </c>
      <c r="G41" s="51" t="inlineStr">
        <is>
          <t xml:space="preserve">T18</t>
        </is>
      </c>
      <c r="H41" s="56" t="str">
        <f t="array" ref="H41">IFERROR(INDEX(Tracker!$I$9:$I$31,MATCH(G41,Tracker!$A$9:$A$31,0)),"")</f>
        <v>In progress</v>
      </c>
      <c r="I41" s="57" t="inlineStr">
        <is>
          <t xml:space="preserve">In progress</t>
        </is>
      </c>
      <c r="J41" s="60">
        <f>IFERROR(VLOOKUP(I41,Lists!$A$5:$B$8,2,FALSE()),0)</f>
        <v>0.5</v>
      </c>
    </row>
    <row r="42" ht="34.5" customHeight="1">
      <c r="A42" s="43" t="inlineStr">
        <is>
          <t xml:space="preserve">US38</t>
        </is>
      </c>
      <c r="B42" s="45" t="inlineStr">
        <is>
          <t xml:space="preserve">Reports and dashboard</t>
        </is>
      </c>
      <c r="C42" s="46" t="inlineStr">
        <is>
          <t xml:space="preserve">Any user</t>
        </is>
      </c>
      <c r="D42" s="47" t="inlineStr">
        <is>
          <t xml:space="preserve">As a user, I want notifications for tasks and decisions, so that I do not miss approvals.</t>
        </is>
      </c>
      <c r="E42" s="48" t="inlineStr">
        <is>
          <t xml:space="preserve">Bell and list with links to the item.</t>
        </is>
      </c>
      <c r="F42" s="50" t="inlineStr">
        <is>
          <t xml:space="preserve">Could</t>
        </is>
      </c>
      <c r="G42" s="51" t="inlineStr">
        <is>
          <t xml:space="preserve">T18</t>
        </is>
      </c>
      <c r="H42" s="56" t="str">
        <f t="array" ref="H42">IFERROR(INDEX(Tracker!$I$9:$I$31,MATCH(G42,Tracker!$A$9:$A$31,0)),"")</f>
        <v>In progress</v>
      </c>
      <c r="I42" s="57" t="inlineStr">
        <is>
          <t xml:space="preserve">In progress</t>
        </is>
      </c>
      <c r="J42" s="60">
        <f>IFERROR(VLOOKUP(I42,Lists!$A$5:$B$8,2,FALSE()),0)</f>
        <v>0.5</v>
      </c>
    </row>
    <row r="43" ht="34.5" customHeight="1">
      <c r="A43" s="43" t="inlineStr">
        <is>
          <t xml:space="preserve">US39</t>
        </is>
      </c>
      <c r="B43" s="45" t="inlineStr">
        <is>
          <t xml:space="preserve">Self-service portals</t>
        </is>
      </c>
      <c r="C43" s="46" t="inlineStr">
        <is>
          <t xml:space="preserve">Employee</t>
        </is>
      </c>
      <c r="D43" s="47" t="inlineStr">
        <is>
          <t xml:space="preserve">As an Employee, I want to see my profile, attendance and schedule, so that I can check my own records.</t>
        </is>
      </c>
      <c r="E43" s="48" t="inlineStr">
        <is>
          <t xml:space="preserve">ESS shows only the logged-in employee's data.</t>
        </is>
      </c>
      <c r="F43" s="50" t="inlineStr">
        <is>
          <t xml:space="preserve">Must</t>
        </is>
      </c>
      <c r="G43" s="51" t="inlineStr">
        <is>
          <t xml:space="preserve">T19</t>
        </is>
      </c>
      <c r="H43" s="56" t="str">
        <f t="array" ref="H43">IFERROR(INDEX(Tracker!$I$9:$I$31,MATCH(G43,Tracker!$A$9:$A$31,0)),"")</f>
        <v>In progress</v>
      </c>
      <c r="I43" s="57" t="inlineStr">
        <is>
          <t xml:space="preserve">In progress</t>
        </is>
      </c>
      <c r="J43" s="60">
        <f>IFERROR(VLOOKUP(I43,Lists!$A$5:$B$8,2,FALSE()),0)</f>
        <v>0.5</v>
      </c>
    </row>
    <row r="44" ht="34.5" customHeight="1">
      <c r="A44" s="43" t="inlineStr">
        <is>
          <t xml:space="preserve">US40</t>
        </is>
      </c>
      <c r="B44" s="45" t="inlineStr">
        <is>
          <t xml:space="preserve">Self-service portals</t>
        </is>
      </c>
      <c r="C44" s="46" t="inlineStr">
        <is>
          <t xml:space="preserve">Employee</t>
        </is>
      </c>
      <c r="D44" s="47" t="inlineStr">
        <is>
          <t xml:space="preserve">As an Employee, I want to view and download my payslips, so that I do not ask HR for copies.</t>
        </is>
      </c>
      <c r="E44" s="48" t="inlineStr">
        <is>
          <t xml:space="preserve">Payslip list and detail for own records only.</t>
        </is>
      </c>
      <c r="F44" s="50" t="inlineStr">
        <is>
          <t xml:space="preserve">Must</t>
        </is>
      </c>
      <c r="G44" s="51" t="inlineStr">
        <is>
          <t xml:space="preserve">T19</t>
        </is>
      </c>
      <c r="H44" s="56" t="str">
        <f t="array" ref="H44">IFERROR(INDEX(Tracker!$I$9:$I$31,MATCH(G44,Tracker!$A$9:$A$31,0)),"")</f>
        <v>In progress</v>
      </c>
      <c r="I44" s="57" t="inlineStr">
        <is>
          <t xml:space="preserve">In progress</t>
        </is>
      </c>
      <c r="J44" s="60">
        <f>IFERROR(VLOOKUP(I44,Lists!$A$5:$B$8,2,FALSE()),0)</f>
        <v>0.5</v>
      </c>
    </row>
    <row r="45" ht="34.5" customHeight="1">
      <c r="A45" s="43" t="inlineStr">
        <is>
          <t xml:space="preserve">US41</t>
        </is>
      </c>
      <c r="B45" s="45" t="inlineStr">
        <is>
          <t xml:space="preserve">Self-service portals</t>
        </is>
      </c>
      <c r="C45" s="46" t="inlineStr">
        <is>
          <t xml:space="preserve">Manager</t>
        </is>
      </c>
      <c r="D45" s="47" t="inlineStr">
        <is>
          <t xml:space="preserve">As a Manager, I want to see my team's attendance and pending approvals, so that I can act on them.</t>
        </is>
      </c>
      <c r="E45" s="48" t="inlineStr">
        <is>
          <t xml:space="preserve">Manager menu shows subordinates only.</t>
        </is>
      </c>
      <c r="F45" s="50" t="inlineStr">
        <is>
          <t xml:space="preserve">Must</t>
        </is>
      </c>
      <c r="G45" s="51" t="inlineStr">
        <is>
          <t xml:space="preserve">T19</t>
        </is>
      </c>
      <c r="H45" s="56" t="str">
        <f t="array" ref="H45">IFERROR(INDEX(Tracker!$I$9:$I$31,MATCH(G45,Tracker!$A$9:$A$31,0)),"")</f>
        <v>In progress</v>
      </c>
      <c r="I45" s="57" t="inlineStr">
        <is>
          <t xml:space="preserve">In progress</t>
        </is>
      </c>
      <c r="J45" s="60">
        <f>IFERROR(VLOOKUP(I45,Lists!$A$5:$B$8,2,FALSE()),0)</f>
        <v>0.5</v>
      </c>
    </row>
    <row r="46" ht="48.0" customHeight="1">
      <c r="A46" s="43" t="inlineStr">
        <is>
          <t xml:space="preserve">US42</t>
        </is>
      </c>
      <c r="B46" s="45" t="inlineStr">
        <is>
          <t xml:space="preserve">Platform and integrations</t>
        </is>
      </c>
      <c r="C46" s="46" t="inlineStr">
        <is>
          <t xml:space="preserve">Super Admin</t>
        </is>
      </c>
      <c r="D46" s="47" t="inlineStr">
        <is>
          <t xml:space="preserve">As a Super Admin, I want to view and onboard companies, so that I can run the SaaS platform.</t>
        </is>
      </c>
      <c r="E46" s="48" t="inlineStr">
        <is>
          <t xml:space="preserve">Company list, create and activate or suspend.</t>
        </is>
      </c>
      <c r="F46" s="50" t="inlineStr">
        <is>
          <t xml:space="preserve">Should</t>
        </is>
      </c>
      <c r="G46" s="51" t="inlineStr">
        <is>
          <t xml:space="preserve">T20</t>
        </is>
      </c>
      <c r="H46" s="56" t="str">
        <f t="array" ref="H46">IFERROR(INDEX(Tracker!$I$9:$I$31,MATCH(G46,Tracker!$A$9:$A$31,0)),"")</f>
        <v>In progress</v>
      </c>
      <c r="I46" s="57" t="inlineStr">
        <is>
          <t xml:space="preserve">In progress</t>
        </is>
      </c>
      <c r="J46" s="60">
        <f>IFERROR(VLOOKUP(I46,Lists!$A$5:$B$8,2,FALSE()),0)</f>
        <v>0.5</v>
      </c>
    </row>
    <row r="47" ht="34.5" customHeight="1">
      <c r="A47" s="43" t="inlineStr">
        <is>
          <t xml:space="preserve">US43</t>
        </is>
      </c>
      <c r="B47" s="45" t="inlineStr">
        <is>
          <t xml:space="preserve">Platform and integrations</t>
        </is>
      </c>
      <c r="C47" s="46" t="inlineStr">
        <is>
          <t xml:space="preserve">Super Admin</t>
        </is>
      </c>
      <c r="D47" s="47" t="inlineStr">
        <is>
          <t xml:space="preserve">As a Super Admin, I want to manage plans and subscriptions, so that access follows what each company pays.</t>
        </is>
      </c>
      <c r="E47" s="48" t="inlineStr">
        <is>
          <t xml:space="preserve">Plans, company subscriptions and plan-based access.</t>
        </is>
      </c>
      <c r="F47" s="50" t="inlineStr">
        <is>
          <t xml:space="preserve">Should</t>
        </is>
      </c>
      <c r="G47" s="51" t="inlineStr">
        <is>
          <t xml:space="preserve">T20</t>
        </is>
      </c>
      <c r="H47" s="56" t="str">
        <f t="array" ref="H47">IFERROR(INDEX(Tracker!$I$9:$I$31,MATCH(G47,Tracker!$A$9:$A$31,0)),"")</f>
        <v>In progress</v>
      </c>
      <c r="I47" s="57" t="inlineStr">
        <is>
          <t xml:space="preserve">In progress</t>
        </is>
      </c>
      <c r="J47" s="60">
        <f>IFERROR(VLOOKUP(I47,Lists!$A$5:$B$8,2,FALSE()),0)</f>
        <v>0.5</v>
      </c>
    </row>
    <row r="48" ht="48.0" customHeight="1">
      <c r="A48" s="43" t="inlineStr">
        <is>
          <t xml:space="preserve">US44</t>
        </is>
      </c>
      <c r="B48" s="45" t="inlineStr">
        <is>
          <t xml:space="preserve">Platform and integrations</t>
        </is>
      </c>
      <c r="C48" s="46" t="inlineStr">
        <is>
          <t xml:space="preserve">Company Admin</t>
        </is>
      </c>
      <c r="D48" s="47" t="inlineStr">
        <is>
          <t xml:space="preserve">As a Company Admin, I want API keys and webhooks, so that our other systems can connect.</t>
        </is>
      </c>
      <c r="E48" s="48" t="inlineStr">
        <is>
          <t xml:space="preserve">Create and revoke keys; add webhooks with events.</t>
        </is>
      </c>
      <c r="F48" s="50" t="inlineStr">
        <is>
          <t xml:space="preserve">Could</t>
        </is>
      </c>
      <c r="G48" s="51" t="inlineStr">
        <is>
          <t xml:space="preserve">T21</t>
        </is>
      </c>
      <c r="H48" s="56" t="str">
        <f t="array" ref="H48">IFERROR(INDEX(Tracker!$I$9:$I$31,MATCH(G48,Tracker!$A$9:$A$31,0)),"")</f>
        <v>In progress</v>
      </c>
      <c r="I48" s="57" t="inlineStr">
        <is>
          <t xml:space="preserve">In progress</t>
        </is>
      </c>
      <c r="J48" s="60">
        <f>IFERROR(VLOOKUP(I48,Lists!$A$5:$B$8,2,FALSE()),0)</f>
        <v>0.5</v>
      </c>
    </row>
    <row r="49" ht="34.5" customHeight="1">
      <c r="A49" s="43" t="inlineStr">
        <is>
          <t xml:space="preserve">US45</t>
        </is>
      </c>
      <c r="B49" s="45" t="inlineStr">
        <is>
          <t xml:space="preserve">Quality and launch</t>
        </is>
      </c>
      <c r="C49" s="46" t="inlineStr">
        <is>
          <t xml:space="preserve">Project Owner</t>
        </is>
      </c>
      <c r="D49" s="47" t="inlineStr">
        <is>
          <t xml:space="preserve">As the Project Owner, I want every module tested and defects fixed, so that problems are found before users see them.</t>
        </is>
      </c>
      <c r="E49" s="48" t="inlineStr">
        <is>
          <t xml:space="preserve">Test results per module; defects fixed and retested; performance checked.</t>
        </is>
      </c>
      <c r="F49" s="50" t="inlineStr">
        <is>
          <t xml:space="preserve">Must</t>
        </is>
      </c>
      <c r="G49" s="51" t="inlineStr">
        <is>
          <t xml:space="preserve">T22</t>
        </is>
      </c>
      <c r="H49" s="56" t="str">
        <f t="array" ref="H49">IFERROR(INDEX(Tracker!$I$9:$I$31,MATCH(G49,Tracker!$A$9:$A$31,0)),"")</f>
        <v>Not started</v>
      </c>
      <c r="I49" s="57" t="inlineStr">
        <is>
          <t xml:space="preserve">Not started</t>
        </is>
      </c>
      <c r="J49" s="60">
        <f>IFERROR(VLOOKUP(I49,Lists!$A$5:$B$8,2,FALSE()),0)</f>
        <v>0</v>
      </c>
    </row>
    <row r="50" ht="34.5" customHeight="1">
      <c r="A50" s="43" t="inlineStr">
        <is>
          <t xml:space="preserve">US46</t>
        </is>
      </c>
      <c r="B50" s="45" t="inlineStr">
        <is>
          <t xml:space="preserve">Quality and launch</t>
        </is>
      </c>
      <c r="C50" s="46" t="inlineStr">
        <is>
          <t xml:space="preserve">Project Owner</t>
        </is>
      </c>
      <c r="D50" s="47" t="inlineStr">
        <is>
          <t xml:space="preserve">As the Project Owner, I want UAT sign-off and a pilot with a real company, so that we launch only when it works.</t>
        </is>
      </c>
      <c r="E50" s="48" t="inlineStr">
        <is>
          <t xml:space="preserve">UAT scenarios run by real users; written sign-off before go-live.</t>
        </is>
      </c>
      <c r="F50" s="50" t="inlineStr">
        <is>
          <t xml:space="preserve">Must</t>
        </is>
      </c>
      <c r="G50" s="51" t="inlineStr">
        <is>
          <t xml:space="preserve">T23</t>
        </is>
      </c>
      <c r="H50" s="56" t="str">
        <f t="array" ref="H50">IFERROR(INDEX(Tracker!$I$9:$I$31,MATCH(G50,Tracker!$A$9:$A$31,0)),"")</f>
        <v>Not started</v>
      </c>
      <c r="I50" s="57" t="inlineStr">
        <is>
          <t xml:space="preserve">Not started</t>
        </is>
      </c>
      <c r="J50" s="60">
        <f>IFERROR(VLOOKUP(I50,Lists!$A$5:$B$8,2,FALSE()),0)</f>
        <v>0</v>
      </c>
    </row>
    <row r="51" ht="15.75" customHeight="1"/>
    <row r="52" ht="15.75" customHeight="1">
      <c r="A52" s="55" t="s">
        <v>292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5:F50">
    <cfRule type="cellIs" dxfId="14" priority="1" operator="equal">
      <formula>"Must"</formula>
    </cfRule>
  </conditionalFormatting>
  <conditionalFormatting sqref="F5:F50">
    <cfRule type="cellIs" dxfId="15" priority="2" operator="equal">
      <formula>"Should"</formula>
    </cfRule>
  </conditionalFormatting>
  <conditionalFormatting sqref="F5:F50">
    <cfRule type="cellIs" dxfId="16" priority="3" operator="equal">
      <formula>"Could"</formula>
    </cfRule>
  </conditionalFormatting>
  <conditionalFormatting sqref="I5:I50">
    <cfRule type="cellIs" dxfId="14" priority="4" operator="equal">
      <formula>"Done"</formula>
    </cfRule>
  </conditionalFormatting>
  <conditionalFormatting sqref="I5:I50">
    <cfRule type="cellIs" dxfId="15" priority="5" operator="equal">
      <formula>"In progress"</formula>
    </cfRule>
  </conditionalFormatting>
  <conditionalFormatting sqref="I5:I50">
    <cfRule type="cellIs" dxfId="17" priority="6" operator="equal">
      <formula>"In testing"</formula>
    </cfRule>
  </conditionalFormatting>
  <conditionalFormatting sqref="I5:I50">
    <cfRule type="cellIs" dxfId="18" priority="7" operator="equal">
      <formula>"Not started"</formula>
    </cfRule>
  </conditionalFormatting>
  <conditionalFormatting sqref="A5:E50">
    <cfRule type="expression" dxfId="11" priority="8">
      <formula>MOD(ROW(),2)=0</formula>
    </cfRule>
  </conditionalFormatting>
  <dataValidations>
    <dataValidation type="list" allowBlank="1" sqref="F5:F50">
      <formula1>"Must,Should,Could"</formula1>
    </dataValidation>
    <dataValidation type="list" allowBlank="1" showInputMessage="1" showErrorMessage="1" prompt="Status - Pick a status from the list." sqref="I5:I50">
      <formula1>Lists!$A$5:$A$8</formula1>
    </dataValidation>
    <dataValidation type="list" allowBlank="1" sqref="G5:G50">
      <formula1>Tracker!$A$9:$A$31</formula1>
    </dataValidation>
  </dataValidations>
  <printOptions/>
  <pageMargins bottom="1.0" footer="0.0" header="0.0" left="0.75" right="0.75" top="1.0"/>
  <pageSetup fitToHeight="0" orientation="landscape"/>
  <headerFooter>
    <oddFooter>&amp;L Project Owner: Louren Isobel Rubico&amp;R Page &amp;P of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A33D"/>
    <pageSetUpPr fitToPage="1"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12.0"/>
    <col customWidth="1" min="3" max="3" width="14.0"/>
    <col customWidth="1" min="4" max="16" width="11.0"/>
    <col customWidth="1" min="17" max="26" width="8.71"/>
  </cols>
  <sheetData>
    <row r="1" ht="36.0" customHeight="1">
      <c r="A1" s="1" t="s">
        <v>259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1.75" customHeight="1">
      <c r="A2" s="3" t="str">
        <f>"Project Owner: "&amp;Tracker!$C$3&amp;"   |   Counts and progress of the user stories (linked to the User Stories sheet)"</f>
        <v>Project Owner: Thea Consignado   |   Counts and progress of the user stories (linked to the User Stories sheet)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ht="24.0" customHeight="1">
      <c r="A4" s="71" t="s">
        <v>263</v>
      </c>
      <c r="B4" s="72"/>
      <c r="C4" s="72"/>
    </row>
    <row r="5">
      <c r="A5" s="40" t="s">
        <v>267</v>
      </c>
      <c r="B5" s="86">
        <f>COUNTA('User Stories'!$A$5:$A$50)</f>
        <v>46</v>
      </c>
    </row>
    <row r="6">
      <c r="A6" s="40" t="s">
        <v>268</v>
      </c>
      <c r="B6" s="86">
        <f>COUNTIF('User Stories'!$F$5:$F$50,"Must")</f>
        <v>31</v>
      </c>
    </row>
    <row r="7">
      <c r="A7" s="40" t="s">
        <v>273</v>
      </c>
      <c r="B7" s="86">
        <f>COUNTIF('User Stories'!$F$5:$F$50,"Should")</f>
        <v>13</v>
      </c>
    </row>
    <row r="8">
      <c r="A8" s="40" t="s">
        <v>274</v>
      </c>
      <c r="B8" s="86">
        <f>COUNTIF('User Stories'!$F$5:$F$50,"Could")</f>
        <v>2</v>
      </c>
    </row>
    <row r="9">
      <c r="A9" s="40" t="s">
        <v>275</v>
      </c>
      <c r="B9" s="86">
        <f>COUNTIF('User Stories'!$I$5:$I$50,"Done")</f>
        <v>0</v>
      </c>
    </row>
    <row r="10">
      <c r="A10" s="40" t="s">
        <v>279</v>
      </c>
      <c r="B10" s="87">
        <f>AVERAGE('User Stories'!$J$5:$J$50)</f>
        <v>0.478260869565217</v>
      </c>
    </row>
    <row r="13" ht="24.0" customHeight="1">
      <c r="A13" s="71" t="s">
        <v>280</v>
      </c>
      <c r="B13" s="72"/>
      <c r="C13" s="72"/>
    </row>
    <row r="14">
      <c r="A14" s="19" t="s">
        <v>90</v>
      </c>
      <c r="B14" s="19" t="s">
        <v>284</v>
      </c>
      <c r="C14" s="19" t="s">
        <v>285</v>
      </c>
    </row>
    <row r="15">
      <c r="A15" s="88" t="inlineStr">
        <is>
          <t xml:space="preserve">Accounts and access</t>
        </is>
      </c>
      <c r="B15" s="74">
        <f>COUNTIF('User Stories'!$B$5:$B$50,A15)</f>
        <v>5</v>
      </c>
      <c r="C15" s="35">
        <f>IFERROR(SUMIFS('User Stories'!$J$5:$J$50,'User Stories'!$B$5:$B$50,A15)/B15,0)</f>
        <v>0.5</v>
      </c>
    </row>
    <row r="16">
      <c r="A16" s="88" t="inlineStr">
        <is>
          <t xml:space="preserve">Company setup</t>
        </is>
      </c>
      <c r="B16" s="74">
        <f>COUNTIF('User Stories'!$B$5:$B$50,A16)</f>
        <v>3</v>
      </c>
      <c r="C16" s="35">
        <f>IFERROR(SUMIFS('User Stories'!$J$5:$J$50,'User Stories'!$B$5:$B$50,A16)/B16,0)</f>
        <v>0.5</v>
      </c>
    </row>
    <row r="17">
      <c r="A17" s="88" t="inlineStr">
        <is>
          <t xml:space="preserve">Employees</t>
        </is>
      </c>
      <c r="B17" s="74">
        <f>COUNTIF('User Stories'!$B$5:$B$50,A17)</f>
        <v>4</v>
      </c>
      <c r="C17" s="35">
        <f>IFERROR(SUMIFS('User Stories'!$J$5:$J$50,'User Stories'!$B$5:$B$50,A17)/B17,0)</f>
        <v>0.5</v>
      </c>
    </row>
    <row r="18">
      <c r="A18" s="88" t="inlineStr">
        <is>
          <t xml:space="preserve">Attendance and schedules</t>
        </is>
      </c>
      <c r="B18" s="74">
        <f>COUNTIF('User Stories'!$B$5:$B$50,A18)</f>
        <v>5</v>
      </c>
      <c r="C18" s="35">
        <f>IFERROR(SUMIFS('User Stories'!$J$5:$J$50,'User Stories'!$B$5:$B$50,A18)/B18,0)</f>
        <v>0.5</v>
      </c>
    </row>
    <row r="19">
      <c r="A19" s="88" t="inlineStr">
        <is>
          <t xml:space="preserve">Leave, overtime and approvals</t>
        </is>
      </c>
      <c r="B19" s="74">
        <f>COUNTIF('User Stories'!$B$5:$B$50,A19)</f>
        <v>6</v>
      </c>
      <c r="C19" s="35">
        <f>IFERROR(SUMIFS('User Stories'!$J$5:$J$50,'User Stories'!$B$5:$B$50,A19)/B19,0)</f>
        <v>0.5</v>
      </c>
    </row>
    <row r="20">
      <c r="A20" s="88" t="inlineStr">
        <is>
          <t xml:space="preserve">Loans, deductions and statutory</t>
        </is>
      </c>
      <c r="B20" s="74">
        <f>COUNTIF('User Stories'!$B$5:$B$50,A20)</f>
        <v>5</v>
      </c>
      <c r="C20" s="35">
        <f>IFERROR(SUMIFS('User Stories'!$J$5:$J$50,'User Stories'!$B$5:$B$50,A20)/B20,0)</f>
        <v>0.5</v>
      </c>
    </row>
    <row r="21" ht="15.75" customHeight="1">
      <c r="A21" s="88" t="inlineStr">
        <is>
          <t xml:space="preserve">Payroll and payslips</t>
        </is>
      </c>
      <c r="B21" s="74">
        <f>COUNTIF('User Stories'!$B$5:$B$50,A21)</f>
        <v>5</v>
      </c>
      <c r="C21" s="35">
        <f>IFERROR(SUMIFS('User Stories'!$J$5:$J$50,'User Stories'!$B$5:$B$50,A21)/B21,0)</f>
        <v>0.5</v>
      </c>
    </row>
    <row r="22" ht="15.75" customHeight="1">
      <c r="A22" s="88" t="inlineStr">
        <is>
          <t xml:space="preserve">Bonuses and 13th month</t>
        </is>
      </c>
      <c r="B22" s="74">
        <f>COUNTIF('User Stories'!$B$5:$B$50,A22)</f>
        <v>2</v>
      </c>
      <c r="C22" s="35">
        <f>IFERROR(SUMIFS('User Stories'!$J$5:$J$50,'User Stories'!$B$5:$B$50,A22)/B22,0)</f>
        <v>0.5</v>
      </c>
    </row>
    <row r="23" ht="15.75" customHeight="1">
      <c r="A23" s="88" t="inlineStr">
        <is>
          <t xml:space="preserve">Reports and dashboard</t>
        </is>
      </c>
      <c r="B23" s="74">
        <f>COUNTIF('User Stories'!$B$5:$B$50,A23)</f>
        <v>3</v>
      </c>
      <c r="C23" s="35">
        <f>IFERROR(SUMIFS('User Stories'!$J$5:$J$50,'User Stories'!$B$5:$B$50,A23)/B23,0)</f>
        <v>0.5</v>
      </c>
    </row>
    <row r="24" ht="15.75" customHeight="1">
      <c r="A24" s="88" t="inlineStr">
        <is>
          <t xml:space="preserve">Self-service portals</t>
        </is>
      </c>
      <c r="B24" s="74">
        <f>COUNTIF('User Stories'!$B$5:$B$50,A24)</f>
        <v>3</v>
      </c>
      <c r="C24" s="35">
        <f>IFERROR(SUMIFS('User Stories'!$J$5:$J$50,'User Stories'!$B$5:$B$50,A24)/B24,0)</f>
        <v>0.5</v>
      </c>
    </row>
    <row r="25" ht="15.75" customHeight="1">
      <c r="A25" s="88" t="inlineStr">
        <is>
          <t xml:space="preserve">Platform and integrations</t>
        </is>
      </c>
      <c r="B25" s="74">
        <f>COUNTIF('User Stories'!$B$5:$B$50,A25)</f>
        <v>3</v>
      </c>
      <c r="C25" s="35">
        <f>IFERROR(SUMIFS('User Stories'!$J$5:$J$50,'User Stories'!$B$5:$B$50,A25)/B25,0)</f>
        <v>0.5</v>
      </c>
    </row>
    <row r="26" ht="15.75" customHeight="1">
      <c r="A26" s="88" t="inlineStr">
        <is>
          <t xml:space="preserve">Quality and launch</t>
        </is>
      </c>
      <c r="B26" s="74">
        <f>COUNTIF('User Stories'!$B$5:$B$50,A26)</f>
        <v>2</v>
      </c>
      <c r="C26" s="35">
        <f>IFERROR(SUMIFS('User Stories'!$J$5:$J$50,'User Stories'!$B$5:$B$50,A26)/B26,0)</f>
        <v>0</v>
      </c>
    </row>
    <row r="27" ht="15.75" customHeight="1"/>
    <row r="28" ht="15.75" customHeight="1">
      <c r="A28" s="55" t="s">
        <v>293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headerFooter>
    <oddFooter>&amp;L Project Owner: Louren Isobel Rubico&amp;R Page &amp;P of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A33D"/>
    <pageSetUpPr fitToPage="1"/>
  </sheetPr>
  <sheetViews>
    <sheetView showGridLines="0" workbookViewId="0"/>
  </sheetViews>
  <sheetFormatPr customHeight="1" defaultColWidth="14.43" defaultRowHeight="15.0"/>
  <cols>
    <col customWidth="1" min="1" max="2" width="20.0"/>
    <col customWidth="1" min="3" max="3" width="40.0"/>
    <col customWidth="1" min="4" max="26" width="8.71"/>
  </cols>
  <sheetData>
    <row r="1" ht="36.0" customHeight="1">
      <c r="A1" s="1" t="s">
        <v>199</v>
      </c>
      <c r="B1" s="2"/>
      <c r="C1" s="2"/>
      <c r="D1" s="2"/>
    </row>
    <row r="2" ht="21.75" customHeight="1">
      <c r="A2" s="3" t="str">
        <f>"Project Owner: "&amp;Tracker!$C$3&amp;"   |   Used by the Tracker and User Stories status dropdowns"</f>
        <v>Project Owner: Thea Consignado   |   Used by the Tracker and User Stories status dropdowns</v>
      </c>
      <c r="B2" s="2"/>
      <c r="C2" s="2"/>
      <c r="D2" s="2"/>
    </row>
    <row r="4">
      <c r="A4" s="19" t="s">
        <v>32</v>
      </c>
      <c r="B4" s="19" t="s">
        <v>201</v>
      </c>
      <c r="C4" s="19" t="s">
        <v>202</v>
      </c>
    </row>
    <row r="5" ht="24.0" customHeight="1">
      <c r="A5" s="78" t="s">
        <v>40</v>
      </c>
      <c r="B5" s="83">
        <v>0.0</v>
      </c>
      <c r="C5" s="84" t="s">
        <v>205</v>
      </c>
    </row>
    <row r="6" ht="24.0" customHeight="1">
      <c r="A6" s="75" t="s">
        <v>140</v>
      </c>
      <c r="B6" s="83">
        <v>0.5</v>
      </c>
      <c r="C6" s="84" t="s">
        <v>206</v>
      </c>
    </row>
    <row r="7" ht="24.0" customHeight="1">
      <c r="A7" s="76" t="s">
        <v>147</v>
      </c>
      <c r="B7" s="83">
        <v>0.8</v>
      </c>
      <c r="C7" s="84" t="s">
        <v>207</v>
      </c>
    </row>
    <row r="8" ht="24.0" customHeight="1">
      <c r="A8" s="73" t="s">
        <v>134</v>
      </c>
      <c r="B8" s="83">
        <v>1.0</v>
      </c>
      <c r="C8" s="84" t="s">
        <v>209</v>
      </c>
    </row>
    <row r="10">
      <c r="A10" s="55" t="s">
        <v>212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decimal" allowBlank="1" showInputMessage="1" showErrorMessage="1" prompt="Progress - Enter a value from 0% to 100%." sqref="B5:B8">
      <formula1>0.0</formula1>
      <formula2>1.0</formula2>
    </dataValidation>
  </dataValidations>
  <printOptions/>
  <pageMargins bottom="1.0" footer="0.0" header="0.0" left="0.75" right="0.75" top="1.0"/>
  <pageSetup fitToHeight="0" orientation="landscape"/>
  <headerFooter>
    <oddFooter>&amp;L Project Owner: Louren Isobel Rubico&amp;R Page &amp;P of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AA9AE"/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7.0"/>
    <col customWidth="1" min="2" max="2" width="48.0"/>
    <col customWidth="1" min="3" max="16" width="7.0"/>
    <col customWidth="1" min="17" max="26" width="8.71"/>
  </cols>
  <sheetData>
    <row r="1" ht="36.0" customHeight="1">
      <c r="A1" s="1" t="s">
        <v>231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1.75" customHeight="1">
      <c r="A2" s="3" t="str">
        <f>"Project Owner: "&amp;Tracker!$C$3&amp;"   |   Planned fraction of each task complete by the end of each week, assuming even effort across its weeks"</f>
        <v>Project Owner: Thea Consignado   |   Planned fraction of each task complete by the end of each week, assuming even effort across its weeks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19" t="s">
        <v>21</v>
      </c>
      <c r="B3" s="20" t="s">
        <v>22</v>
      </c>
      <c r="C3" s="22">
        <v>0.0</v>
      </c>
      <c r="D3" s="22">
        <v>1.0</v>
      </c>
      <c r="E3" s="22">
        <v>2.0</v>
      </c>
      <c r="F3" s="22">
        <v>3.0</v>
      </c>
      <c r="G3" s="22">
        <v>4.0</v>
      </c>
      <c r="H3" s="22">
        <v>5.0</v>
      </c>
      <c r="I3" s="22">
        <v>6.0</v>
      </c>
      <c r="J3" s="22">
        <v>7.0</v>
      </c>
      <c r="K3" s="22">
        <v>8.0</v>
      </c>
      <c r="L3" s="22">
        <v>9.0</v>
      </c>
      <c r="M3" s="22">
        <v>10.0</v>
      </c>
      <c r="N3" s="22">
        <v>11.0</v>
      </c>
      <c r="O3" s="22">
        <v>12.0</v>
      </c>
      <c r="P3" s="22">
        <v>13.0</v>
      </c>
    </row>
    <row r="4">
      <c r="A4" s="85" t="str">
        <f>Tracker!A9</f>
        <v>T01</v>
      </c>
      <c r="B4" s="27" t="str">
        <f>Tracker!C9</f>
        <v>Project setup, architecture, UI/UX foundation</v>
      </c>
      <c r="C4" s="35">
        <f>MAX(0,MIN(1,(C$3-Tracker!$D9+1)/(Tracker!$E9-Tracker!$D9+1)))</f>
        <v>0</v>
      </c>
      <c r="D4" s="35">
        <f>MAX(0,MIN(1,(D$3-Tracker!$D9+1)/(Tracker!$E9-Tracker!$D9+1)))</f>
        <v>1</v>
      </c>
      <c r="E4" s="35">
        <f>MAX(0,MIN(1,(E$3-Tracker!$D9+1)/(Tracker!$E9-Tracker!$D9+1)))</f>
        <v>1</v>
      </c>
      <c r="F4" s="35">
        <f>MAX(0,MIN(1,(F$3-Tracker!$D9+1)/(Tracker!$E9-Tracker!$D9+1)))</f>
        <v>1</v>
      </c>
      <c r="G4" s="35">
        <f>MAX(0,MIN(1,(G$3-Tracker!$D9+1)/(Tracker!$E9-Tracker!$D9+1)))</f>
        <v>1</v>
      </c>
      <c r="H4" s="35">
        <f>MAX(0,MIN(1,(H$3-Tracker!$D9+1)/(Tracker!$E9-Tracker!$D9+1)))</f>
        <v>1</v>
      </c>
      <c r="I4" s="35">
        <f>MAX(0,MIN(1,(I$3-Tracker!$D9+1)/(Tracker!$E9-Tracker!$D9+1)))</f>
        <v>1</v>
      </c>
      <c r="J4" s="35">
        <f>MAX(0,MIN(1,(J$3-Tracker!$D9+1)/(Tracker!$E9-Tracker!$D9+1)))</f>
        <v>1</v>
      </c>
      <c r="K4" s="35">
        <f>MAX(0,MIN(1,(K$3-Tracker!$D9+1)/(Tracker!$E9-Tracker!$D9+1)))</f>
        <v>1</v>
      </c>
      <c r="L4" s="35">
        <f>MAX(0,MIN(1,(L$3-Tracker!$D9+1)/(Tracker!$E9-Tracker!$D9+1)))</f>
        <v>1</v>
      </c>
      <c r="M4" s="35">
        <f>MAX(0,MIN(1,(M$3-Tracker!$D9+1)/(Tracker!$E9-Tracker!$D9+1)))</f>
        <v>1</v>
      </c>
      <c r="N4" s="35">
        <f>MAX(0,MIN(1,(N$3-Tracker!$D9+1)/(Tracker!$E9-Tracker!$D9+1)))</f>
        <v>1</v>
      </c>
      <c r="O4" s="35">
        <f>MAX(0,MIN(1,(O$3-Tracker!$D9+1)/(Tracker!$E9-Tracker!$D9+1)))</f>
        <v>1</v>
      </c>
      <c r="P4" s="35">
        <f>MAX(0,MIN(1,(P$3-Tracker!$D9+1)/(Tracker!$E9-Tracker!$D9+1)))</f>
        <v>1</v>
      </c>
    </row>
    <row r="5">
      <c r="A5" s="85" t="str">
        <f>Tracker!A10</f>
        <v>T02</v>
      </c>
      <c r="B5" s="27" t="str">
        <f>Tracker!C10</f>
        <v>Database design and multi-tenant setup</v>
      </c>
      <c r="C5" s="35">
        <f>MAX(0,MIN(1,(C$3-Tracker!$D10+1)/(Tracker!$E10-Tracker!$D10+1)))</f>
        <v>0</v>
      </c>
      <c r="D5" s="35">
        <f>MAX(0,MIN(1,(D$3-Tracker!$D10+1)/(Tracker!$E10-Tracker!$D10+1)))</f>
        <v>0.333333333333333</v>
      </c>
      <c r="E5" s="35">
        <f>MAX(0,MIN(1,(E$3-Tracker!$D10+1)/(Tracker!$E10-Tracker!$D10+1)))</f>
        <v>0.666666666666667</v>
      </c>
      <c r="F5" s="35">
        <f>MAX(0,MIN(1,(F$3-Tracker!$D10+1)/(Tracker!$E10-Tracker!$D10+1)))</f>
        <v>1</v>
      </c>
      <c r="G5" s="35">
        <f>MAX(0,MIN(1,(G$3-Tracker!$D10+1)/(Tracker!$E10-Tracker!$D10+1)))</f>
        <v>1</v>
      </c>
      <c r="H5" s="35">
        <f>MAX(0,MIN(1,(H$3-Tracker!$D10+1)/(Tracker!$E10-Tracker!$D10+1)))</f>
        <v>1</v>
      </c>
      <c r="I5" s="35">
        <f>MAX(0,MIN(1,(I$3-Tracker!$D10+1)/(Tracker!$E10-Tracker!$D10+1)))</f>
        <v>1</v>
      </c>
      <c r="J5" s="35">
        <f>MAX(0,MIN(1,(J$3-Tracker!$D10+1)/(Tracker!$E10-Tracker!$D10+1)))</f>
        <v>1</v>
      </c>
      <c r="K5" s="35">
        <f>MAX(0,MIN(1,(K$3-Tracker!$D10+1)/(Tracker!$E10-Tracker!$D10+1)))</f>
        <v>1</v>
      </c>
      <c r="L5" s="35">
        <f>MAX(0,MIN(1,(L$3-Tracker!$D10+1)/(Tracker!$E10-Tracker!$D10+1)))</f>
        <v>1</v>
      </c>
      <c r="M5" s="35">
        <f>MAX(0,MIN(1,(M$3-Tracker!$D10+1)/(Tracker!$E10-Tracker!$D10+1)))</f>
        <v>1</v>
      </c>
      <c r="N5" s="35">
        <f>MAX(0,MIN(1,(N$3-Tracker!$D10+1)/(Tracker!$E10-Tracker!$D10+1)))</f>
        <v>1</v>
      </c>
      <c r="O5" s="35">
        <f>MAX(0,MIN(1,(O$3-Tracker!$D10+1)/(Tracker!$E10-Tracker!$D10+1)))</f>
        <v>1</v>
      </c>
      <c r="P5" s="35">
        <f>MAX(0,MIN(1,(P$3-Tracker!$D10+1)/(Tracker!$E10-Tracker!$D10+1)))</f>
        <v>1</v>
      </c>
    </row>
    <row r="6">
      <c r="A6" s="85" t="str">
        <f>Tracker!A11</f>
        <v>T03</v>
      </c>
      <c r="B6" s="27" t="str">
        <f>Tracker!C11</f>
        <v>Login, password reset, roles and permissions</v>
      </c>
      <c r="C6" s="35">
        <f>MAX(0,MIN(1,(C$3-Tracker!$D11+1)/(Tracker!$E11-Tracker!$D11+1)))</f>
        <v>0</v>
      </c>
      <c r="D6" s="35">
        <f>MAX(0,MIN(1,(D$3-Tracker!$D11+1)/(Tracker!$E11-Tracker!$D11+1)))</f>
        <v>0.333333333333333</v>
      </c>
      <c r="E6" s="35">
        <f>MAX(0,MIN(1,(E$3-Tracker!$D11+1)/(Tracker!$E11-Tracker!$D11+1)))</f>
        <v>0.666666666666667</v>
      </c>
      <c r="F6" s="35">
        <f>MAX(0,MIN(1,(F$3-Tracker!$D11+1)/(Tracker!$E11-Tracker!$D11+1)))</f>
        <v>1</v>
      </c>
      <c r="G6" s="35">
        <f>MAX(0,MIN(1,(G$3-Tracker!$D11+1)/(Tracker!$E11-Tracker!$D11+1)))</f>
        <v>1</v>
      </c>
      <c r="H6" s="35">
        <f>MAX(0,MIN(1,(H$3-Tracker!$D11+1)/(Tracker!$E11-Tracker!$D11+1)))</f>
        <v>1</v>
      </c>
      <c r="I6" s="35">
        <f>MAX(0,MIN(1,(I$3-Tracker!$D11+1)/(Tracker!$E11-Tracker!$D11+1)))</f>
        <v>1</v>
      </c>
      <c r="J6" s="35">
        <f>MAX(0,MIN(1,(J$3-Tracker!$D11+1)/(Tracker!$E11-Tracker!$D11+1)))</f>
        <v>1</v>
      </c>
      <c r="K6" s="35">
        <f>MAX(0,MIN(1,(K$3-Tracker!$D11+1)/(Tracker!$E11-Tracker!$D11+1)))</f>
        <v>1</v>
      </c>
      <c r="L6" s="35">
        <f>MAX(0,MIN(1,(L$3-Tracker!$D11+1)/(Tracker!$E11-Tracker!$D11+1)))</f>
        <v>1</v>
      </c>
      <c r="M6" s="35">
        <f>MAX(0,MIN(1,(M$3-Tracker!$D11+1)/(Tracker!$E11-Tracker!$D11+1)))</f>
        <v>1</v>
      </c>
      <c r="N6" s="35">
        <f>MAX(0,MIN(1,(N$3-Tracker!$D11+1)/(Tracker!$E11-Tracker!$D11+1)))</f>
        <v>1</v>
      </c>
      <c r="O6" s="35">
        <f>MAX(0,MIN(1,(O$3-Tracker!$D11+1)/(Tracker!$E11-Tracker!$D11+1)))</f>
        <v>1</v>
      </c>
      <c r="P6" s="35">
        <f>MAX(0,MIN(1,(P$3-Tracker!$D11+1)/(Tracker!$E11-Tracker!$D11+1)))</f>
        <v>1</v>
      </c>
    </row>
    <row r="7">
      <c r="A7" s="85" t="str">
        <f>Tracker!A12</f>
        <v>T04</v>
      </c>
      <c r="B7" s="27" t="str">
        <f>Tracker!C12</f>
        <v>User accounts, access and activity logs</v>
      </c>
      <c r="C7" s="35">
        <f>MAX(0,MIN(1,(C$3-Tracker!$D12+1)/(Tracker!$E12-Tracker!$D12+1)))</f>
        <v>0</v>
      </c>
      <c r="D7" s="35">
        <f>MAX(0,MIN(1,(D$3-Tracker!$D12+1)/(Tracker!$E12-Tracker!$D12+1)))</f>
        <v>0</v>
      </c>
      <c r="E7" s="35">
        <f>MAX(0,MIN(1,(E$3-Tracker!$D12+1)/(Tracker!$E12-Tracker!$D12+1)))</f>
        <v>0.5</v>
      </c>
      <c r="F7" s="35">
        <f>MAX(0,MIN(1,(F$3-Tracker!$D12+1)/(Tracker!$E12-Tracker!$D12+1)))</f>
        <v>1</v>
      </c>
      <c r="G7" s="35">
        <f>MAX(0,MIN(1,(G$3-Tracker!$D12+1)/(Tracker!$E12-Tracker!$D12+1)))</f>
        <v>1</v>
      </c>
      <c r="H7" s="35">
        <f>MAX(0,MIN(1,(H$3-Tracker!$D12+1)/(Tracker!$E12-Tracker!$D12+1)))</f>
        <v>1</v>
      </c>
      <c r="I7" s="35">
        <f>MAX(0,MIN(1,(I$3-Tracker!$D12+1)/(Tracker!$E12-Tracker!$D12+1)))</f>
        <v>1</v>
      </c>
      <c r="J7" s="35">
        <f>MAX(0,MIN(1,(J$3-Tracker!$D12+1)/(Tracker!$E12-Tracker!$D12+1)))</f>
        <v>1</v>
      </c>
      <c r="K7" s="35">
        <f>MAX(0,MIN(1,(K$3-Tracker!$D12+1)/(Tracker!$E12-Tracker!$D12+1)))</f>
        <v>1</v>
      </c>
      <c r="L7" s="35">
        <f>MAX(0,MIN(1,(L$3-Tracker!$D12+1)/(Tracker!$E12-Tracker!$D12+1)))</f>
        <v>1</v>
      </c>
      <c r="M7" s="35">
        <f>MAX(0,MIN(1,(M$3-Tracker!$D12+1)/(Tracker!$E12-Tracker!$D12+1)))</f>
        <v>1</v>
      </c>
      <c r="N7" s="35">
        <f>MAX(0,MIN(1,(N$3-Tracker!$D12+1)/(Tracker!$E12-Tracker!$D12+1)))</f>
        <v>1</v>
      </c>
      <c r="O7" s="35">
        <f>MAX(0,MIN(1,(O$3-Tracker!$D12+1)/(Tracker!$E12-Tracker!$D12+1)))</f>
        <v>1</v>
      </c>
      <c r="P7" s="35">
        <f>MAX(0,MIN(1,(P$3-Tracker!$D12+1)/(Tracker!$E12-Tracker!$D12+1)))</f>
        <v>1</v>
      </c>
    </row>
    <row r="8">
      <c r="A8" s="85" t="str">
        <f>Tracker!A13</f>
        <v>T05</v>
      </c>
      <c r="B8" s="27" t="str">
        <f>Tracker!C13</f>
        <v>Company information, payroll settings, holidays</v>
      </c>
      <c r="C8" s="35">
        <f>MAX(0,MIN(1,(C$3-Tracker!$D13+1)/(Tracker!$E13-Tracker!$D13+1)))</f>
        <v>0</v>
      </c>
      <c r="D8" s="35">
        <f>MAX(0,MIN(1,(D$3-Tracker!$D13+1)/(Tracker!$E13-Tracker!$D13+1)))</f>
        <v>0</v>
      </c>
      <c r="E8" s="35">
        <f>MAX(0,MIN(1,(E$3-Tracker!$D13+1)/(Tracker!$E13-Tracker!$D13+1)))</f>
        <v>0.5</v>
      </c>
      <c r="F8" s="35">
        <f>MAX(0,MIN(1,(F$3-Tracker!$D13+1)/(Tracker!$E13-Tracker!$D13+1)))</f>
        <v>1</v>
      </c>
      <c r="G8" s="35">
        <f>MAX(0,MIN(1,(G$3-Tracker!$D13+1)/(Tracker!$E13-Tracker!$D13+1)))</f>
        <v>1</v>
      </c>
      <c r="H8" s="35">
        <f>MAX(0,MIN(1,(H$3-Tracker!$D13+1)/(Tracker!$E13-Tracker!$D13+1)))</f>
        <v>1</v>
      </c>
      <c r="I8" s="35">
        <f>MAX(0,MIN(1,(I$3-Tracker!$D13+1)/(Tracker!$E13-Tracker!$D13+1)))</f>
        <v>1</v>
      </c>
      <c r="J8" s="35">
        <f>MAX(0,MIN(1,(J$3-Tracker!$D13+1)/(Tracker!$E13-Tracker!$D13+1)))</f>
        <v>1</v>
      </c>
      <c r="K8" s="35">
        <f>MAX(0,MIN(1,(K$3-Tracker!$D13+1)/(Tracker!$E13-Tracker!$D13+1)))</f>
        <v>1</v>
      </c>
      <c r="L8" s="35">
        <f>MAX(0,MIN(1,(L$3-Tracker!$D13+1)/(Tracker!$E13-Tracker!$D13+1)))</f>
        <v>1</v>
      </c>
      <c r="M8" s="35">
        <f>MAX(0,MIN(1,(M$3-Tracker!$D13+1)/(Tracker!$E13-Tracker!$D13+1)))</f>
        <v>1</v>
      </c>
      <c r="N8" s="35">
        <f>MAX(0,MIN(1,(N$3-Tracker!$D13+1)/(Tracker!$E13-Tracker!$D13+1)))</f>
        <v>1</v>
      </c>
      <c r="O8" s="35">
        <f>MAX(0,MIN(1,(O$3-Tracker!$D13+1)/(Tracker!$E13-Tracker!$D13+1)))</f>
        <v>1</v>
      </c>
      <c r="P8" s="35">
        <f>MAX(0,MIN(1,(P$3-Tracker!$D13+1)/(Tracker!$E13-Tracker!$D13+1)))</f>
        <v>1</v>
      </c>
    </row>
    <row r="9">
      <c r="A9" s="85" t="str">
        <f>Tracker!A14</f>
        <v>T06</v>
      </c>
      <c r="B9" s="27" t="str">
        <f>Tracker!C14</f>
        <v>Branches and onboarding</v>
      </c>
      <c r="C9" s="35">
        <f>MAX(0,MIN(1,(C$3-Tracker!$D14+1)/(Tracker!$E14-Tracker!$D14+1)))</f>
        <v>0</v>
      </c>
      <c r="D9" s="35">
        <f>MAX(0,MIN(1,(D$3-Tracker!$D14+1)/(Tracker!$E14-Tracker!$D14+1)))</f>
        <v>0</v>
      </c>
      <c r="E9" s="35">
        <f>MAX(0,MIN(1,(E$3-Tracker!$D14+1)/(Tracker!$E14-Tracker!$D14+1)))</f>
        <v>0</v>
      </c>
      <c r="F9" s="35">
        <f>MAX(0,MIN(1,(F$3-Tracker!$D14+1)/(Tracker!$E14-Tracker!$D14+1)))</f>
        <v>1</v>
      </c>
      <c r="G9" s="35">
        <f>MAX(0,MIN(1,(G$3-Tracker!$D14+1)/(Tracker!$E14-Tracker!$D14+1)))</f>
        <v>1</v>
      </c>
      <c r="H9" s="35">
        <f>MAX(0,MIN(1,(H$3-Tracker!$D14+1)/(Tracker!$E14-Tracker!$D14+1)))</f>
        <v>1</v>
      </c>
      <c r="I9" s="35">
        <f>MAX(0,MIN(1,(I$3-Tracker!$D14+1)/(Tracker!$E14-Tracker!$D14+1)))</f>
        <v>1</v>
      </c>
      <c r="J9" s="35">
        <f>MAX(0,MIN(1,(J$3-Tracker!$D14+1)/(Tracker!$E14-Tracker!$D14+1)))</f>
        <v>1</v>
      </c>
      <c r="K9" s="35">
        <f>MAX(0,MIN(1,(K$3-Tracker!$D14+1)/(Tracker!$E14-Tracker!$D14+1)))</f>
        <v>1</v>
      </c>
      <c r="L9" s="35">
        <f>MAX(0,MIN(1,(L$3-Tracker!$D14+1)/(Tracker!$E14-Tracker!$D14+1)))</f>
        <v>1</v>
      </c>
      <c r="M9" s="35">
        <f>MAX(0,MIN(1,(M$3-Tracker!$D14+1)/(Tracker!$E14-Tracker!$D14+1)))</f>
        <v>1</v>
      </c>
      <c r="N9" s="35">
        <f>MAX(0,MIN(1,(N$3-Tracker!$D14+1)/(Tracker!$E14-Tracker!$D14+1)))</f>
        <v>1</v>
      </c>
      <c r="O9" s="35">
        <f>MAX(0,MIN(1,(O$3-Tracker!$D14+1)/(Tracker!$E14-Tracker!$D14+1)))</f>
        <v>1</v>
      </c>
      <c r="P9" s="35">
        <f>MAX(0,MIN(1,(P$3-Tracker!$D14+1)/(Tracker!$E14-Tracker!$D14+1)))</f>
        <v>1</v>
      </c>
    </row>
    <row r="10">
      <c r="A10" s="85" t="str">
        <f>Tracker!A15</f>
        <v>T07</v>
      </c>
      <c r="B10" s="27" t="str">
        <f>Tracker!C15</f>
        <v>Employee management (list, profile, import)</v>
      </c>
      <c r="C10" s="35">
        <f>MAX(0,MIN(1,(C$3-Tracker!$D15+1)/(Tracker!$E15-Tracker!$D15+1)))</f>
        <v>0</v>
      </c>
      <c r="D10" s="35">
        <f>MAX(0,MIN(1,(D$3-Tracker!$D15+1)/(Tracker!$E15-Tracker!$D15+1)))</f>
        <v>0</v>
      </c>
      <c r="E10" s="35">
        <f>MAX(0,MIN(1,(E$3-Tracker!$D15+1)/(Tracker!$E15-Tracker!$D15+1)))</f>
        <v>0.5</v>
      </c>
      <c r="F10" s="35">
        <f>MAX(0,MIN(1,(F$3-Tracker!$D15+1)/(Tracker!$E15-Tracker!$D15+1)))</f>
        <v>1</v>
      </c>
      <c r="G10" s="35">
        <f>MAX(0,MIN(1,(G$3-Tracker!$D15+1)/(Tracker!$E15-Tracker!$D15+1)))</f>
        <v>1</v>
      </c>
      <c r="H10" s="35">
        <f>MAX(0,MIN(1,(H$3-Tracker!$D15+1)/(Tracker!$E15-Tracker!$D15+1)))</f>
        <v>1</v>
      </c>
      <c r="I10" s="35">
        <f>MAX(0,MIN(1,(I$3-Tracker!$D15+1)/(Tracker!$E15-Tracker!$D15+1)))</f>
        <v>1</v>
      </c>
      <c r="J10" s="35">
        <f>MAX(0,MIN(1,(J$3-Tracker!$D15+1)/(Tracker!$E15-Tracker!$D15+1)))</f>
        <v>1</v>
      </c>
      <c r="K10" s="35">
        <f>MAX(0,MIN(1,(K$3-Tracker!$D15+1)/(Tracker!$E15-Tracker!$D15+1)))</f>
        <v>1</v>
      </c>
      <c r="L10" s="35">
        <f>MAX(0,MIN(1,(L$3-Tracker!$D15+1)/(Tracker!$E15-Tracker!$D15+1)))</f>
        <v>1</v>
      </c>
      <c r="M10" s="35">
        <f>MAX(0,MIN(1,(M$3-Tracker!$D15+1)/(Tracker!$E15-Tracker!$D15+1)))</f>
        <v>1</v>
      </c>
      <c r="N10" s="35">
        <f>MAX(0,MIN(1,(N$3-Tracker!$D15+1)/(Tracker!$E15-Tracker!$D15+1)))</f>
        <v>1</v>
      </c>
      <c r="O10" s="35">
        <f>MAX(0,MIN(1,(O$3-Tracker!$D15+1)/(Tracker!$E15-Tracker!$D15+1)))</f>
        <v>1</v>
      </c>
      <c r="P10" s="35">
        <f>MAX(0,MIN(1,(P$3-Tracker!$D15+1)/(Tracker!$E15-Tracker!$D15+1)))</f>
        <v>1</v>
      </c>
    </row>
    <row r="11">
      <c r="A11" s="85" t="str">
        <f>Tracker!A16</f>
        <v>T08</v>
      </c>
      <c r="B11" s="27" t="str">
        <f>Tracker!C16</f>
        <v>Attendance, adjustments and biometrics</v>
      </c>
      <c r="C11" s="35">
        <f>MAX(0,MIN(1,(C$3-Tracker!$D16+1)/(Tracker!$E16-Tracker!$D16+1)))</f>
        <v>0</v>
      </c>
      <c r="D11" s="35">
        <f>MAX(0,MIN(1,(D$3-Tracker!$D16+1)/(Tracker!$E16-Tracker!$D16+1)))</f>
        <v>0</v>
      </c>
      <c r="E11" s="35">
        <f>MAX(0,MIN(1,(E$3-Tracker!$D16+1)/(Tracker!$E16-Tracker!$D16+1)))</f>
        <v>0</v>
      </c>
      <c r="F11" s="35">
        <f>MAX(0,MIN(1,(F$3-Tracker!$D16+1)/(Tracker!$E16-Tracker!$D16+1)))</f>
        <v>0.5</v>
      </c>
      <c r="G11" s="35">
        <f>MAX(0,MIN(1,(G$3-Tracker!$D16+1)/(Tracker!$E16-Tracker!$D16+1)))</f>
        <v>1</v>
      </c>
      <c r="H11" s="35">
        <f>MAX(0,MIN(1,(H$3-Tracker!$D16+1)/(Tracker!$E16-Tracker!$D16+1)))</f>
        <v>1</v>
      </c>
      <c r="I11" s="35">
        <f>MAX(0,MIN(1,(I$3-Tracker!$D16+1)/(Tracker!$E16-Tracker!$D16+1)))</f>
        <v>1</v>
      </c>
      <c r="J11" s="35">
        <f>MAX(0,MIN(1,(J$3-Tracker!$D16+1)/(Tracker!$E16-Tracker!$D16+1)))</f>
        <v>1</v>
      </c>
      <c r="K11" s="35">
        <f>MAX(0,MIN(1,(K$3-Tracker!$D16+1)/(Tracker!$E16-Tracker!$D16+1)))</f>
        <v>1</v>
      </c>
      <c r="L11" s="35">
        <f>MAX(0,MIN(1,(L$3-Tracker!$D16+1)/(Tracker!$E16-Tracker!$D16+1)))</f>
        <v>1</v>
      </c>
      <c r="M11" s="35">
        <f>MAX(0,MIN(1,(M$3-Tracker!$D16+1)/(Tracker!$E16-Tracker!$D16+1)))</f>
        <v>1</v>
      </c>
      <c r="N11" s="35">
        <f>MAX(0,MIN(1,(N$3-Tracker!$D16+1)/(Tracker!$E16-Tracker!$D16+1)))</f>
        <v>1</v>
      </c>
      <c r="O11" s="35">
        <f>MAX(0,MIN(1,(O$3-Tracker!$D16+1)/(Tracker!$E16-Tracker!$D16+1)))</f>
        <v>1</v>
      </c>
      <c r="P11" s="35">
        <f>MAX(0,MIN(1,(P$3-Tracker!$D16+1)/(Tracker!$E16-Tracker!$D16+1)))</f>
        <v>1</v>
      </c>
    </row>
    <row r="12">
      <c r="A12" s="85" t="str">
        <f>Tracker!A17</f>
        <v>T09</v>
      </c>
      <c r="B12" s="27" t="str">
        <f>Tracker!C17</f>
        <v>Schedules (roster, teams, shift templates)</v>
      </c>
      <c r="C12" s="35">
        <f>MAX(0,MIN(1,(C$3-Tracker!$D17+1)/(Tracker!$E17-Tracker!$D17+1)))</f>
        <v>0</v>
      </c>
      <c r="D12" s="35">
        <f>MAX(0,MIN(1,(D$3-Tracker!$D17+1)/(Tracker!$E17-Tracker!$D17+1)))</f>
        <v>0</v>
      </c>
      <c r="E12" s="35">
        <f>MAX(0,MIN(1,(E$3-Tracker!$D17+1)/(Tracker!$E17-Tracker!$D17+1)))</f>
        <v>0</v>
      </c>
      <c r="F12" s="35">
        <f>MAX(0,MIN(1,(F$3-Tracker!$D17+1)/(Tracker!$E17-Tracker!$D17+1)))</f>
        <v>0.5</v>
      </c>
      <c r="G12" s="35">
        <f>MAX(0,MIN(1,(G$3-Tracker!$D17+1)/(Tracker!$E17-Tracker!$D17+1)))</f>
        <v>1</v>
      </c>
      <c r="H12" s="35">
        <f>MAX(0,MIN(1,(H$3-Tracker!$D17+1)/(Tracker!$E17-Tracker!$D17+1)))</f>
        <v>1</v>
      </c>
      <c r="I12" s="35">
        <f>MAX(0,MIN(1,(I$3-Tracker!$D17+1)/(Tracker!$E17-Tracker!$D17+1)))</f>
        <v>1</v>
      </c>
      <c r="J12" s="35">
        <f>MAX(0,MIN(1,(J$3-Tracker!$D17+1)/(Tracker!$E17-Tracker!$D17+1)))</f>
        <v>1</v>
      </c>
      <c r="K12" s="35">
        <f>MAX(0,MIN(1,(K$3-Tracker!$D17+1)/(Tracker!$E17-Tracker!$D17+1)))</f>
        <v>1</v>
      </c>
      <c r="L12" s="35">
        <f>MAX(0,MIN(1,(L$3-Tracker!$D17+1)/(Tracker!$E17-Tracker!$D17+1)))</f>
        <v>1</v>
      </c>
      <c r="M12" s="35">
        <f>MAX(0,MIN(1,(M$3-Tracker!$D17+1)/(Tracker!$E17-Tracker!$D17+1)))</f>
        <v>1</v>
      </c>
      <c r="N12" s="35">
        <f>MAX(0,MIN(1,(N$3-Tracker!$D17+1)/(Tracker!$E17-Tracker!$D17+1)))</f>
        <v>1</v>
      </c>
      <c r="O12" s="35">
        <f>MAX(0,MIN(1,(O$3-Tracker!$D17+1)/(Tracker!$E17-Tracker!$D17+1)))</f>
        <v>1</v>
      </c>
      <c r="P12" s="35">
        <f>MAX(0,MIN(1,(P$3-Tracker!$D17+1)/(Tracker!$E17-Tracker!$D17+1)))</f>
        <v>1</v>
      </c>
    </row>
    <row r="13">
      <c r="A13" s="85" t="str">
        <f>Tracker!A18</f>
        <v>T10</v>
      </c>
      <c r="B13" s="27" t="str">
        <f>Tracker!C18</f>
        <v>Leave types, requests, approvals and balances</v>
      </c>
      <c r="C13" s="35">
        <f>MAX(0,MIN(1,(C$3-Tracker!$D18+1)/(Tracker!$E18-Tracker!$D18+1)))</f>
        <v>0</v>
      </c>
      <c r="D13" s="35">
        <f>MAX(0,MIN(1,(D$3-Tracker!$D18+1)/(Tracker!$E18-Tracker!$D18+1)))</f>
        <v>0</v>
      </c>
      <c r="E13" s="35">
        <f>MAX(0,MIN(1,(E$3-Tracker!$D18+1)/(Tracker!$E18-Tracker!$D18+1)))</f>
        <v>0</v>
      </c>
      <c r="F13" s="35">
        <f>MAX(0,MIN(1,(F$3-Tracker!$D18+1)/(Tracker!$E18-Tracker!$D18+1)))</f>
        <v>0</v>
      </c>
      <c r="G13" s="35">
        <f>MAX(0,MIN(1,(G$3-Tracker!$D18+1)/(Tracker!$E18-Tracker!$D18+1)))</f>
        <v>0.5</v>
      </c>
      <c r="H13" s="35">
        <f>MAX(0,MIN(1,(H$3-Tracker!$D18+1)/(Tracker!$E18-Tracker!$D18+1)))</f>
        <v>1</v>
      </c>
      <c r="I13" s="35">
        <f>MAX(0,MIN(1,(I$3-Tracker!$D18+1)/(Tracker!$E18-Tracker!$D18+1)))</f>
        <v>1</v>
      </c>
      <c r="J13" s="35">
        <f>MAX(0,MIN(1,(J$3-Tracker!$D18+1)/(Tracker!$E18-Tracker!$D18+1)))</f>
        <v>1</v>
      </c>
      <c r="K13" s="35">
        <f>MAX(0,MIN(1,(K$3-Tracker!$D18+1)/(Tracker!$E18-Tracker!$D18+1)))</f>
        <v>1</v>
      </c>
      <c r="L13" s="35">
        <f>MAX(0,MIN(1,(L$3-Tracker!$D18+1)/(Tracker!$E18-Tracker!$D18+1)))</f>
        <v>1</v>
      </c>
      <c r="M13" s="35">
        <f>MAX(0,MIN(1,(M$3-Tracker!$D18+1)/(Tracker!$E18-Tracker!$D18+1)))</f>
        <v>1</v>
      </c>
      <c r="N13" s="35">
        <f>MAX(0,MIN(1,(N$3-Tracker!$D18+1)/(Tracker!$E18-Tracker!$D18+1)))</f>
        <v>1</v>
      </c>
      <c r="O13" s="35">
        <f>MAX(0,MIN(1,(O$3-Tracker!$D18+1)/(Tracker!$E18-Tracker!$D18+1)))</f>
        <v>1</v>
      </c>
      <c r="P13" s="35">
        <f>MAX(0,MIN(1,(P$3-Tracker!$D18+1)/(Tracker!$E18-Tracker!$D18+1)))</f>
        <v>1</v>
      </c>
    </row>
    <row r="14">
      <c r="A14" s="85" t="str">
        <f>Tracker!A19</f>
        <v>T11</v>
      </c>
      <c r="B14" s="27" t="str">
        <f>Tracker!C19</f>
        <v>Overtime and night differential</v>
      </c>
      <c r="C14" s="35">
        <f>MAX(0,MIN(1,(C$3-Tracker!$D19+1)/(Tracker!$E19-Tracker!$D19+1)))</f>
        <v>0</v>
      </c>
      <c r="D14" s="35">
        <f>MAX(0,MIN(1,(D$3-Tracker!$D19+1)/(Tracker!$E19-Tracker!$D19+1)))</f>
        <v>0</v>
      </c>
      <c r="E14" s="35">
        <f>MAX(0,MIN(1,(E$3-Tracker!$D19+1)/(Tracker!$E19-Tracker!$D19+1)))</f>
        <v>0</v>
      </c>
      <c r="F14" s="35">
        <f>MAX(0,MIN(1,(F$3-Tracker!$D19+1)/(Tracker!$E19-Tracker!$D19+1)))</f>
        <v>0</v>
      </c>
      <c r="G14" s="35">
        <f>MAX(0,MIN(1,(G$3-Tracker!$D19+1)/(Tracker!$E19-Tracker!$D19+1)))</f>
        <v>0.5</v>
      </c>
      <c r="H14" s="35">
        <f>MAX(0,MIN(1,(H$3-Tracker!$D19+1)/(Tracker!$E19-Tracker!$D19+1)))</f>
        <v>1</v>
      </c>
      <c r="I14" s="35">
        <f>MAX(0,MIN(1,(I$3-Tracker!$D19+1)/(Tracker!$E19-Tracker!$D19+1)))</f>
        <v>1</v>
      </c>
      <c r="J14" s="35">
        <f>MAX(0,MIN(1,(J$3-Tracker!$D19+1)/(Tracker!$E19-Tracker!$D19+1)))</f>
        <v>1</v>
      </c>
      <c r="K14" s="35">
        <f>MAX(0,MIN(1,(K$3-Tracker!$D19+1)/(Tracker!$E19-Tracker!$D19+1)))</f>
        <v>1</v>
      </c>
      <c r="L14" s="35">
        <f>MAX(0,MIN(1,(L$3-Tracker!$D19+1)/(Tracker!$E19-Tracker!$D19+1)))</f>
        <v>1</v>
      </c>
      <c r="M14" s="35">
        <f>MAX(0,MIN(1,(M$3-Tracker!$D19+1)/(Tracker!$E19-Tracker!$D19+1)))</f>
        <v>1</v>
      </c>
      <c r="N14" s="35">
        <f>MAX(0,MIN(1,(N$3-Tracker!$D19+1)/(Tracker!$E19-Tracker!$D19+1)))</f>
        <v>1</v>
      </c>
      <c r="O14" s="35">
        <f>MAX(0,MIN(1,(O$3-Tracker!$D19+1)/(Tracker!$E19-Tracker!$D19+1)))</f>
        <v>1</v>
      </c>
      <c r="P14" s="35">
        <f>MAX(0,MIN(1,(P$3-Tracker!$D19+1)/(Tracker!$E19-Tracker!$D19+1)))</f>
        <v>1</v>
      </c>
    </row>
    <row r="15">
      <c r="A15" s="85" t="str">
        <f>Tracker!A20</f>
        <v>T12</v>
      </c>
      <c r="B15" s="27" t="str">
        <f>Tracker!C20</f>
        <v>Hourly and output compensation approvals</v>
      </c>
      <c r="C15" s="35">
        <f>MAX(0,MIN(1,(C$3-Tracker!$D20+1)/(Tracker!$E20-Tracker!$D20+1)))</f>
        <v>0</v>
      </c>
      <c r="D15" s="35">
        <f>MAX(0,MIN(1,(D$3-Tracker!$D20+1)/(Tracker!$E20-Tracker!$D20+1)))</f>
        <v>0</v>
      </c>
      <c r="E15" s="35">
        <f>MAX(0,MIN(1,(E$3-Tracker!$D20+1)/(Tracker!$E20-Tracker!$D20+1)))</f>
        <v>0</v>
      </c>
      <c r="F15" s="35">
        <f>MAX(0,MIN(1,(F$3-Tracker!$D20+1)/(Tracker!$E20-Tracker!$D20+1)))</f>
        <v>0</v>
      </c>
      <c r="G15" s="35">
        <f>MAX(0,MIN(1,(G$3-Tracker!$D20+1)/(Tracker!$E20-Tracker!$D20+1)))</f>
        <v>0</v>
      </c>
      <c r="H15" s="35">
        <f>MAX(0,MIN(1,(H$3-Tracker!$D20+1)/(Tracker!$E20-Tracker!$D20+1)))</f>
        <v>0.5</v>
      </c>
      <c r="I15" s="35">
        <f>MAX(0,MIN(1,(I$3-Tracker!$D20+1)/(Tracker!$E20-Tracker!$D20+1)))</f>
        <v>1</v>
      </c>
      <c r="J15" s="35">
        <f>MAX(0,MIN(1,(J$3-Tracker!$D20+1)/(Tracker!$E20-Tracker!$D20+1)))</f>
        <v>1</v>
      </c>
      <c r="K15" s="35">
        <f>MAX(0,MIN(1,(K$3-Tracker!$D20+1)/(Tracker!$E20-Tracker!$D20+1)))</f>
        <v>1</v>
      </c>
      <c r="L15" s="35">
        <f>MAX(0,MIN(1,(L$3-Tracker!$D20+1)/(Tracker!$E20-Tracker!$D20+1)))</f>
        <v>1</v>
      </c>
      <c r="M15" s="35">
        <f>MAX(0,MIN(1,(M$3-Tracker!$D20+1)/(Tracker!$E20-Tracker!$D20+1)))</f>
        <v>1</v>
      </c>
      <c r="N15" s="35">
        <f>MAX(0,MIN(1,(N$3-Tracker!$D20+1)/(Tracker!$E20-Tracker!$D20+1)))</f>
        <v>1</v>
      </c>
      <c r="O15" s="35">
        <f>MAX(0,MIN(1,(O$3-Tracker!$D20+1)/(Tracker!$E20-Tracker!$D20+1)))</f>
        <v>1</v>
      </c>
      <c r="P15" s="35">
        <f>MAX(0,MIN(1,(P$3-Tracker!$D20+1)/(Tracker!$E20-Tracker!$D20+1)))</f>
        <v>1</v>
      </c>
    </row>
    <row r="16">
      <c r="A16" s="85" t="str">
        <f>Tracker!A21</f>
        <v>T13</v>
      </c>
      <c r="B16" s="27" t="str">
        <f>Tracker!C21</f>
        <v>Benefits, loans and deductions</v>
      </c>
      <c r="C16" s="35">
        <f>MAX(0,MIN(1,(C$3-Tracker!$D21+1)/(Tracker!$E21-Tracker!$D21+1)))</f>
        <v>0</v>
      </c>
      <c r="D16" s="35">
        <f>MAX(0,MIN(1,(D$3-Tracker!$D21+1)/(Tracker!$E21-Tracker!$D21+1)))</f>
        <v>0</v>
      </c>
      <c r="E16" s="35">
        <f>MAX(0,MIN(1,(E$3-Tracker!$D21+1)/(Tracker!$E21-Tracker!$D21+1)))</f>
        <v>0</v>
      </c>
      <c r="F16" s="35">
        <f>MAX(0,MIN(1,(F$3-Tracker!$D21+1)/(Tracker!$E21-Tracker!$D21+1)))</f>
        <v>0</v>
      </c>
      <c r="G16" s="35">
        <f>MAX(0,MIN(1,(G$3-Tracker!$D21+1)/(Tracker!$E21-Tracker!$D21+1)))</f>
        <v>0</v>
      </c>
      <c r="H16" s="35">
        <f>MAX(0,MIN(1,(H$3-Tracker!$D21+1)/(Tracker!$E21-Tracker!$D21+1)))</f>
        <v>0.5</v>
      </c>
      <c r="I16" s="35">
        <f>MAX(0,MIN(1,(I$3-Tracker!$D21+1)/(Tracker!$E21-Tracker!$D21+1)))</f>
        <v>1</v>
      </c>
      <c r="J16" s="35">
        <f>MAX(0,MIN(1,(J$3-Tracker!$D21+1)/(Tracker!$E21-Tracker!$D21+1)))</f>
        <v>1</v>
      </c>
      <c r="K16" s="35">
        <f>MAX(0,MIN(1,(K$3-Tracker!$D21+1)/(Tracker!$E21-Tracker!$D21+1)))</f>
        <v>1</v>
      </c>
      <c r="L16" s="35">
        <f>MAX(0,MIN(1,(L$3-Tracker!$D21+1)/(Tracker!$E21-Tracker!$D21+1)))</f>
        <v>1</v>
      </c>
      <c r="M16" s="35">
        <f>MAX(0,MIN(1,(M$3-Tracker!$D21+1)/(Tracker!$E21-Tracker!$D21+1)))</f>
        <v>1</v>
      </c>
      <c r="N16" s="35">
        <f>MAX(0,MIN(1,(N$3-Tracker!$D21+1)/(Tracker!$E21-Tracker!$D21+1)))</f>
        <v>1</v>
      </c>
      <c r="O16" s="35">
        <f>MAX(0,MIN(1,(O$3-Tracker!$D21+1)/(Tracker!$E21-Tracker!$D21+1)))</f>
        <v>1</v>
      </c>
      <c r="P16" s="35">
        <f>MAX(0,MIN(1,(P$3-Tracker!$D21+1)/(Tracker!$E21-Tracker!$D21+1)))</f>
        <v>1</v>
      </c>
    </row>
    <row r="17">
      <c r="A17" s="85" t="str">
        <f>Tracker!A22</f>
        <v>T14</v>
      </c>
      <c r="B17" s="27" t="str">
        <f>Tracker!C22</f>
        <v>Payroll computation, runs and approvals</v>
      </c>
      <c r="C17" s="35">
        <f>MAX(0,MIN(1,(C$3-Tracker!$D22+1)/(Tracker!$E22-Tracker!$D22+1)))</f>
        <v>0</v>
      </c>
      <c r="D17" s="35">
        <f>MAX(0,MIN(1,(D$3-Tracker!$D22+1)/(Tracker!$E22-Tracker!$D22+1)))</f>
        <v>0</v>
      </c>
      <c r="E17" s="35">
        <f>MAX(0,MIN(1,(E$3-Tracker!$D22+1)/(Tracker!$E22-Tracker!$D22+1)))</f>
        <v>0</v>
      </c>
      <c r="F17" s="35">
        <f>MAX(0,MIN(1,(F$3-Tracker!$D22+1)/(Tracker!$E22-Tracker!$D22+1)))</f>
        <v>0</v>
      </c>
      <c r="G17" s="35">
        <f>MAX(0,MIN(1,(G$3-Tracker!$D22+1)/(Tracker!$E22-Tracker!$D22+1)))</f>
        <v>0</v>
      </c>
      <c r="H17" s="35">
        <f>MAX(0,MIN(1,(H$3-Tracker!$D22+1)/(Tracker!$E22-Tracker!$D22+1)))</f>
        <v>0.25</v>
      </c>
      <c r="I17" s="35">
        <f>MAX(0,MIN(1,(I$3-Tracker!$D22+1)/(Tracker!$E22-Tracker!$D22+1)))</f>
        <v>0.5</v>
      </c>
      <c r="J17" s="35">
        <f>MAX(0,MIN(1,(J$3-Tracker!$D22+1)/(Tracker!$E22-Tracker!$D22+1)))</f>
        <v>0.75</v>
      </c>
      <c r="K17" s="35">
        <f>MAX(0,MIN(1,(K$3-Tracker!$D22+1)/(Tracker!$E22-Tracker!$D22+1)))</f>
        <v>1</v>
      </c>
      <c r="L17" s="35">
        <f>MAX(0,MIN(1,(L$3-Tracker!$D22+1)/(Tracker!$E22-Tracker!$D22+1)))</f>
        <v>1</v>
      </c>
      <c r="M17" s="35">
        <f>MAX(0,MIN(1,(M$3-Tracker!$D22+1)/(Tracker!$E22-Tracker!$D22+1)))</f>
        <v>1</v>
      </c>
      <c r="N17" s="35">
        <f>MAX(0,MIN(1,(N$3-Tracker!$D22+1)/(Tracker!$E22-Tracker!$D22+1)))</f>
        <v>1</v>
      </c>
      <c r="O17" s="35">
        <f>MAX(0,MIN(1,(O$3-Tracker!$D22+1)/(Tracker!$E22-Tracker!$D22+1)))</f>
        <v>1</v>
      </c>
      <c r="P17" s="35">
        <f>MAX(0,MIN(1,(P$3-Tracker!$D22+1)/(Tracker!$E22-Tracker!$D22+1)))</f>
        <v>1</v>
      </c>
    </row>
    <row r="18">
      <c r="A18" s="85" t="str">
        <f>Tracker!A23</f>
        <v>T15</v>
      </c>
      <c r="B18" s="27" t="str">
        <f>Tracker!C23</f>
        <v>Payslips (admin and employee views, email)</v>
      </c>
      <c r="C18" s="35">
        <f>MAX(0,MIN(1,(C$3-Tracker!$D23+1)/(Tracker!$E23-Tracker!$D23+1)))</f>
        <v>0</v>
      </c>
      <c r="D18" s="35">
        <f>MAX(0,MIN(1,(D$3-Tracker!$D23+1)/(Tracker!$E23-Tracker!$D23+1)))</f>
        <v>0</v>
      </c>
      <c r="E18" s="35">
        <f>MAX(0,MIN(1,(E$3-Tracker!$D23+1)/(Tracker!$E23-Tracker!$D23+1)))</f>
        <v>0</v>
      </c>
      <c r="F18" s="35">
        <f>MAX(0,MIN(1,(F$3-Tracker!$D23+1)/(Tracker!$E23-Tracker!$D23+1)))</f>
        <v>0</v>
      </c>
      <c r="G18" s="35">
        <f>MAX(0,MIN(1,(G$3-Tracker!$D23+1)/(Tracker!$E23-Tracker!$D23+1)))</f>
        <v>0</v>
      </c>
      <c r="H18" s="35">
        <f>MAX(0,MIN(1,(H$3-Tracker!$D23+1)/(Tracker!$E23-Tracker!$D23+1)))</f>
        <v>0</v>
      </c>
      <c r="I18" s="35">
        <f>MAX(0,MIN(1,(I$3-Tracker!$D23+1)/(Tracker!$E23-Tracker!$D23+1)))</f>
        <v>0</v>
      </c>
      <c r="J18" s="35">
        <f>MAX(0,MIN(1,(J$3-Tracker!$D23+1)/(Tracker!$E23-Tracker!$D23+1)))</f>
        <v>0.5</v>
      </c>
      <c r="K18" s="35">
        <f>MAX(0,MIN(1,(K$3-Tracker!$D23+1)/(Tracker!$E23-Tracker!$D23+1)))</f>
        <v>1</v>
      </c>
      <c r="L18" s="35">
        <f>MAX(0,MIN(1,(L$3-Tracker!$D23+1)/(Tracker!$E23-Tracker!$D23+1)))</f>
        <v>1</v>
      </c>
      <c r="M18" s="35">
        <f>MAX(0,MIN(1,(M$3-Tracker!$D23+1)/(Tracker!$E23-Tracker!$D23+1)))</f>
        <v>1</v>
      </c>
      <c r="N18" s="35">
        <f>MAX(0,MIN(1,(N$3-Tracker!$D23+1)/(Tracker!$E23-Tracker!$D23+1)))</f>
        <v>1</v>
      </c>
      <c r="O18" s="35">
        <f>MAX(0,MIN(1,(O$3-Tracker!$D23+1)/(Tracker!$E23-Tracker!$D23+1)))</f>
        <v>1</v>
      </c>
      <c r="P18" s="35">
        <f>MAX(0,MIN(1,(P$3-Tracker!$D23+1)/(Tracker!$E23-Tracker!$D23+1)))</f>
        <v>1</v>
      </c>
    </row>
    <row r="19">
      <c r="A19" s="85" t="str">
        <f>Tracker!A24</f>
        <v>T16</v>
      </c>
      <c r="B19" s="27" t="str">
        <f>Tracker!C24</f>
        <v>Bonuses, incentives and 13th month pay</v>
      </c>
      <c r="C19" s="35">
        <f>MAX(0,MIN(1,(C$3-Tracker!$D24+1)/(Tracker!$E24-Tracker!$D24+1)))</f>
        <v>0</v>
      </c>
      <c r="D19" s="35">
        <f>MAX(0,MIN(1,(D$3-Tracker!$D24+1)/(Tracker!$E24-Tracker!$D24+1)))</f>
        <v>0</v>
      </c>
      <c r="E19" s="35">
        <f>MAX(0,MIN(1,(E$3-Tracker!$D24+1)/(Tracker!$E24-Tracker!$D24+1)))</f>
        <v>0</v>
      </c>
      <c r="F19" s="35">
        <f>MAX(0,MIN(1,(F$3-Tracker!$D24+1)/(Tracker!$E24-Tracker!$D24+1)))</f>
        <v>0</v>
      </c>
      <c r="G19" s="35">
        <f>MAX(0,MIN(1,(G$3-Tracker!$D24+1)/(Tracker!$E24-Tracker!$D24+1)))</f>
        <v>0</v>
      </c>
      <c r="H19" s="35">
        <f>MAX(0,MIN(1,(H$3-Tracker!$D24+1)/(Tracker!$E24-Tracker!$D24+1)))</f>
        <v>0</v>
      </c>
      <c r="I19" s="35">
        <f>MAX(0,MIN(1,(I$3-Tracker!$D24+1)/(Tracker!$E24-Tracker!$D24+1)))</f>
        <v>0</v>
      </c>
      <c r="J19" s="35">
        <f>MAX(0,MIN(1,(J$3-Tracker!$D24+1)/(Tracker!$E24-Tracker!$D24+1)))</f>
        <v>0.5</v>
      </c>
      <c r="K19" s="35">
        <f>MAX(0,MIN(1,(K$3-Tracker!$D24+1)/(Tracker!$E24-Tracker!$D24+1)))</f>
        <v>1</v>
      </c>
      <c r="L19" s="35">
        <f>MAX(0,MIN(1,(L$3-Tracker!$D24+1)/(Tracker!$E24-Tracker!$D24+1)))</f>
        <v>1</v>
      </c>
      <c r="M19" s="35">
        <f>MAX(0,MIN(1,(M$3-Tracker!$D24+1)/(Tracker!$E24-Tracker!$D24+1)))</f>
        <v>1</v>
      </c>
      <c r="N19" s="35">
        <f>MAX(0,MIN(1,(N$3-Tracker!$D24+1)/(Tracker!$E24-Tracker!$D24+1)))</f>
        <v>1</v>
      </c>
      <c r="O19" s="35">
        <f>MAX(0,MIN(1,(O$3-Tracker!$D24+1)/(Tracker!$E24-Tracker!$D24+1)))</f>
        <v>1</v>
      </c>
      <c r="P19" s="35">
        <f>MAX(0,MIN(1,(P$3-Tracker!$D24+1)/(Tracker!$E24-Tracker!$D24+1)))</f>
        <v>1</v>
      </c>
    </row>
    <row r="20">
      <c r="A20" s="85" t="str">
        <f>Tracker!A25</f>
        <v>T17</v>
      </c>
      <c r="B20" s="27" t="str">
        <f>Tracker!C25</f>
        <v>Statutory contributions and withholding tax</v>
      </c>
      <c r="C20" s="35">
        <f>MAX(0,MIN(1,(C$3-Tracker!$D25+1)/(Tracker!$E25-Tracker!$D25+1)))</f>
        <v>0</v>
      </c>
      <c r="D20" s="35">
        <f>MAX(0,MIN(1,(D$3-Tracker!$D25+1)/(Tracker!$E25-Tracker!$D25+1)))</f>
        <v>0</v>
      </c>
      <c r="E20" s="35">
        <f>MAX(0,MIN(1,(E$3-Tracker!$D25+1)/(Tracker!$E25-Tracker!$D25+1)))</f>
        <v>0</v>
      </c>
      <c r="F20" s="35">
        <f>MAX(0,MIN(1,(F$3-Tracker!$D25+1)/(Tracker!$E25-Tracker!$D25+1)))</f>
        <v>0</v>
      </c>
      <c r="G20" s="35">
        <f>MAX(0,MIN(1,(G$3-Tracker!$D25+1)/(Tracker!$E25-Tracker!$D25+1)))</f>
        <v>0</v>
      </c>
      <c r="H20" s="35">
        <f>MAX(0,MIN(1,(H$3-Tracker!$D25+1)/(Tracker!$E25-Tracker!$D25+1)))</f>
        <v>0</v>
      </c>
      <c r="I20" s="35">
        <f>MAX(0,MIN(1,(I$3-Tracker!$D25+1)/(Tracker!$E25-Tracker!$D25+1)))</f>
        <v>0.333333333333333</v>
      </c>
      <c r="J20" s="35">
        <f>MAX(0,MIN(1,(J$3-Tracker!$D25+1)/(Tracker!$E25-Tracker!$D25+1)))</f>
        <v>0.666666666666667</v>
      </c>
      <c r="K20" s="35">
        <f>MAX(0,MIN(1,(K$3-Tracker!$D25+1)/(Tracker!$E25-Tracker!$D25+1)))</f>
        <v>1</v>
      </c>
      <c r="L20" s="35">
        <f>MAX(0,MIN(1,(L$3-Tracker!$D25+1)/(Tracker!$E25-Tracker!$D25+1)))</f>
        <v>1</v>
      </c>
      <c r="M20" s="35">
        <f>MAX(0,MIN(1,(M$3-Tracker!$D25+1)/(Tracker!$E25-Tracker!$D25+1)))</f>
        <v>1</v>
      </c>
      <c r="N20" s="35">
        <f>MAX(0,MIN(1,(N$3-Tracker!$D25+1)/(Tracker!$E25-Tracker!$D25+1)))</f>
        <v>1</v>
      </c>
      <c r="O20" s="35">
        <f>MAX(0,MIN(1,(O$3-Tracker!$D25+1)/(Tracker!$E25-Tracker!$D25+1)))</f>
        <v>1</v>
      </c>
      <c r="P20" s="35">
        <f>MAX(0,MIN(1,(P$3-Tracker!$D25+1)/(Tracker!$E25-Tracker!$D25+1)))</f>
        <v>1</v>
      </c>
    </row>
    <row r="21" ht="15.75" customHeight="1">
      <c r="A21" s="85" t="str">
        <f>Tracker!A26</f>
        <v>T18</v>
      </c>
      <c r="B21" s="27" t="str">
        <f>Tracker!C26</f>
        <v>Reports, dashboard and notifications</v>
      </c>
      <c r="C21" s="35">
        <f>MAX(0,MIN(1,(C$3-Tracker!$D26+1)/(Tracker!$E26-Tracker!$D26+1)))</f>
        <v>0</v>
      </c>
      <c r="D21" s="35">
        <f>MAX(0,MIN(1,(D$3-Tracker!$D26+1)/(Tracker!$E26-Tracker!$D26+1)))</f>
        <v>0</v>
      </c>
      <c r="E21" s="35">
        <f>MAX(0,MIN(1,(E$3-Tracker!$D26+1)/(Tracker!$E26-Tracker!$D26+1)))</f>
        <v>0</v>
      </c>
      <c r="F21" s="35">
        <f>MAX(0,MIN(1,(F$3-Tracker!$D26+1)/(Tracker!$E26-Tracker!$D26+1)))</f>
        <v>0</v>
      </c>
      <c r="G21" s="35">
        <f>MAX(0,MIN(1,(G$3-Tracker!$D26+1)/(Tracker!$E26-Tracker!$D26+1)))</f>
        <v>0</v>
      </c>
      <c r="H21" s="35">
        <f>MAX(0,MIN(1,(H$3-Tracker!$D26+1)/(Tracker!$E26-Tracker!$D26+1)))</f>
        <v>0</v>
      </c>
      <c r="I21" s="35">
        <f>MAX(0,MIN(1,(I$3-Tracker!$D26+1)/(Tracker!$E26-Tracker!$D26+1)))</f>
        <v>0</v>
      </c>
      <c r="J21" s="35">
        <f>MAX(0,MIN(1,(J$3-Tracker!$D26+1)/(Tracker!$E26-Tracker!$D26+1)))</f>
        <v>0</v>
      </c>
      <c r="K21" s="35">
        <f>MAX(0,MIN(1,(K$3-Tracker!$D26+1)/(Tracker!$E26-Tracker!$D26+1)))</f>
        <v>0.5</v>
      </c>
      <c r="L21" s="35">
        <f>MAX(0,MIN(1,(L$3-Tracker!$D26+1)/(Tracker!$E26-Tracker!$D26+1)))</f>
        <v>1</v>
      </c>
      <c r="M21" s="35">
        <f>MAX(0,MIN(1,(M$3-Tracker!$D26+1)/(Tracker!$E26-Tracker!$D26+1)))</f>
        <v>1</v>
      </c>
      <c r="N21" s="35">
        <f>MAX(0,MIN(1,(N$3-Tracker!$D26+1)/(Tracker!$E26-Tracker!$D26+1)))</f>
        <v>1</v>
      </c>
      <c r="O21" s="35">
        <f>MAX(0,MIN(1,(O$3-Tracker!$D26+1)/(Tracker!$E26-Tracker!$D26+1)))</f>
        <v>1</v>
      </c>
      <c r="P21" s="35">
        <f>MAX(0,MIN(1,(P$3-Tracker!$D26+1)/(Tracker!$E26-Tracker!$D26+1)))</f>
        <v>1</v>
      </c>
    </row>
    <row r="22" ht="15.75" customHeight="1">
      <c r="A22" s="85" t="str">
        <f>Tracker!A27</f>
        <v>T19</v>
      </c>
      <c r="B22" s="27" t="str">
        <f>Tracker!C27</f>
        <v>Employee and Manager self-service (ESS)</v>
      </c>
      <c r="C22" s="35">
        <f>MAX(0,MIN(1,(C$3-Tracker!$D27+1)/(Tracker!$E27-Tracker!$D27+1)))</f>
        <v>0</v>
      </c>
      <c r="D22" s="35">
        <f>MAX(0,MIN(1,(D$3-Tracker!$D27+1)/(Tracker!$E27-Tracker!$D27+1)))</f>
        <v>0</v>
      </c>
      <c r="E22" s="35">
        <f>MAX(0,MIN(1,(E$3-Tracker!$D27+1)/(Tracker!$E27-Tracker!$D27+1)))</f>
        <v>0</v>
      </c>
      <c r="F22" s="35">
        <f>MAX(0,MIN(1,(F$3-Tracker!$D27+1)/(Tracker!$E27-Tracker!$D27+1)))</f>
        <v>0</v>
      </c>
      <c r="G22" s="35">
        <f>MAX(0,MIN(1,(G$3-Tracker!$D27+1)/(Tracker!$E27-Tracker!$D27+1)))</f>
        <v>0</v>
      </c>
      <c r="H22" s="35">
        <f>MAX(0,MIN(1,(H$3-Tracker!$D27+1)/(Tracker!$E27-Tracker!$D27+1)))</f>
        <v>0</v>
      </c>
      <c r="I22" s="35">
        <f>MAX(0,MIN(1,(I$3-Tracker!$D27+1)/(Tracker!$E27-Tracker!$D27+1)))</f>
        <v>0.333333333333333</v>
      </c>
      <c r="J22" s="35">
        <f>MAX(0,MIN(1,(J$3-Tracker!$D27+1)/(Tracker!$E27-Tracker!$D27+1)))</f>
        <v>0.666666666666667</v>
      </c>
      <c r="K22" s="35">
        <f>MAX(0,MIN(1,(K$3-Tracker!$D27+1)/(Tracker!$E27-Tracker!$D27+1)))</f>
        <v>1</v>
      </c>
      <c r="L22" s="35">
        <f>MAX(0,MIN(1,(L$3-Tracker!$D27+1)/(Tracker!$E27-Tracker!$D27+1)))</f>
        <v>1</v>
      </c>
      <c r="M22" s="35">
        <f>MAX(0,MIN(1,(M$3-Tracker!$D27+1)/(Tracker!$E27-Tracker!$D27+1)))</f>
        <v>1</v>
      </c>
      <c r="N22" s="35">
        <f>MAX(0,MIN(1,(N$3-Tracker!$D27+1)/(Tracker!$E27-Tracker!$D27+1)))</f>
        <v>1</v>
      </c>
      <c r="O22" s="35">
        <f>MAX(0,MIN(1,(O$3-Tracker!$D27+1)/(Tracker!$E27-Tracker!$D27+1)))</f>
        <v>1</v>
      </c>
      <c r="P22" s="35">
        <f>MAX(0,MIN(1,(P$3-Tracker!$D27+1)/(Tracker!$E27-Tracker!$D27+1)))</f>
        <v>1</v>
      </c>
    </row>
    <row r="23" ht="15.75" customHeight="1">
      <c r="A23" s="85" t="str">
        <f>Tracker!A28</f>
        <v>T20</v>
      </c>
      <c r="B23" s="27" t="str">
        <f>Tracker!C28</f>
        <v>Super Admin: companies, subscription, plans</v>
      </c>
      <c r="C23" s="35">
        <f>MAX(0,MIN(1,(C$3-Tracker!$D28+1)/(Tracker!$E28-Tracker!$D28+1)))</f>
        <v>0</v>
      </c>
      <c r="D23" s="35">
        <f>MAX(0,MIN(1,(D$3-Tracker!$D28+1)/(Tracker!$E28-Tracker!$D28+1)))</f>
        <v>0</v>
      </c>
      <c r="E23" s="35">
        <f>MAX(0,MIN(1,(E$3-Tracker!$D28+1)/(Tracker!$E28-Tracker!$D28+1)))</f>
        <v>0</v>
      </c>
      <c r="F23" s="35">
        <f>MAX(0,MIN(1,(F$3-Tracker!$D28+1)/(Tracker!$E28-Tracker!$D28+1)))</f>
        <v>0</v>
      </c>
      <c r="G23" s="35">
        <f>MAX(0,MIN(1,(G$3-Tracker!$D28+1)/(Tracker!$E28-Tracker!$D28+1)))</f>
        <v>0</v>
      </c>
      <c r="H23" s="35">
        <f>MAX(0,MIN(1,(H$3-Tracker!$D28+1)/(Tracker!$E28-Tracker!$D28+1)))</f>
        <v>0</v>
      </c>
      <c r="I23" s="35">
        <f>MAX(0,MIN(1,(I$3-Tracker!$D28+1)/(Tracker!$E28-Tracker!$D28+1)))</f>
        <v>0</v>
      </c>
      <c r="J23" s="35">
        <f>MAX(0,MIN(1,(J$3-Tracker!$D28+1)/(Tracker!$E28-Tracker!$D28+1)))</f>
        <v>0</v>
      </c>
      <c r="K23" s="35">
        <f>MAX(0,MIN(1,(K$3-Tracker!$D28+1)/(Tracker!$E28-Tracker!$D28+1)))</f>
        <v>0</v>
      </c>
      <c r="L23" s="35">
        <f>MAX(0,MIN(1,(L$3-Tracker!$D28+1)/(Tracker!$E28-Tracker!$D28+1)))</f>
        <v>1</v>
      </c>
      <c r="M23" s="35">
        <f>MAX(0,MIN(1,(M$3-Tracker!$D28+1)/(Tracker!$E28-Tracker!$D28+1)))</f>
        <v>1</v>
      </c>
      <c r="N23" s="35">
        <f>MAX(0,MIN(1,(N$3-Tracker!$D28+1)/(Tracker!$E28-Tracker!$D28+1)))</f>
        <v>1</v>
      </c>
      <c r="O23" s="35">
        <f>MAX(0,MIN(1,(O$3-Tracker!$D28+1)/(Tracker!$E28-Tracker!$D28+1)))</f>
        <v>1</v>
      </c>
      <c r="P23" s="35">
        <f>MAX(0,MIN(1,(P$3-Tracker!$D28+1)/(Tracker!$E28-Tracker!$D28+1)))</f>
        <v>1</v>
      </c>
    </row>
    <row r="24" ht="15.75" customHeight="1">
      <c r="A24" s="85" t="str">
        <f>Tracker!A29</f>
        <v>T21</v>
      </c>
      <c r="B24" s="27" t="str">
        <f>Tracker!C29</f>
        <v>Integrations and API (API keys, webhooks)</v>
      </c>
      <c r="C24" s="35">
        <f>MAX(0,MIN(1,(C$3-Tracker!$D29+1)/(Tracker!$E29-Tracker!$D29+1)))</f>
        <v>0</v>
      </c>
      <c r="D24" s="35">
        <f>MAX(0,MIN(1,(D$3-Tracker!$D29+1)/(Tracker!$E29-Tracker!$D29+1)))</f>
        <v>0</v>
      </c>
      <c r="E24" s="35">
        <f>MAX(0,MIN(1,(E$3-Tracker!$D29+1)/(Tracker!$E29-Tracker!$D29+1)))</f>
        <v>0</v>
      </c>
      <c r="F24" s="35">
        <f>MAX(0,MIN(1,(F$3-Tracker!$D29+1)/(Tracker!$E29-Tracker!$D29+1)))</f>
        <v>0</v>
      </c>
      <c r="G24" s="35">
        <f>MAX(0,MIN(1,(G$3-Tracker!$D29+1)/(Tracker!$E29-Tracker!$D29+1)))</f>
        <v>0</v>
      </c>
      <c r="H24" s="35">
        <f>MAX(0,MIN(1,(H$3-Tracker!$D29+1)/(Tracker!$E29-Tracker!$D29+1)))</f>
        <v>0</v>
      </c>
      <c r="I24" s="35">
        <f>MAX(0,MIN(1,(I$3-Tracker!$D29+1)/(Tracker!$E29-Tracker!$D29+1)))</f>
        <v>0</v>
      </c>
      <c r="J24" s="35">
        <f>MAX(0,MIN(1,(J$3-Tracker!$D29+1)/(Tracker!$E29-Tracker!$D29+1)))</f>
        <v>0</v>
      </c>
      <c r="K24" s="35">
        <f>MAX(0,MIN(1,(K$3-Tracker!$D29+1)/(Tracker!$E29-Tracker!$D29+1)))</f>
        <v>0</v>
      </c>
      <c r="L24" s="35">
        <f>MAX(0,MIN(1,(L$3-Tracker!$D29+1)/(Tracker!$E29-Tracker!$D29+1)))</f>
        <v>0.5</v>
      </c>
      <c r="M24" s="35">
        <f>MAX(0,MIN(1,(M$3-Tracker!$D29+1)/(Tracker!$E29-Tracker!$D29+1)))</f>
        <v>1</v>
      </c>
      <c r="N24" s="35">
        <f>MAX(0,MIN(1,(N$3-Tracker!$D29+1)/(Tracker!$E29-Tracker!$D29+1)))</f>
        <v>1</v>
      </c>
      <c r="O24" s="35">
        <f>MAX(0,MIN(1,(O$3-Tracker!$D29+1)/(Tracker!$E29-Tracker!$D29+1)))</f>
        <v>1</v>
      </c>
      <c r="P24" s="35">
        <f>MAX(0,MIN(1,(P$3-Tracker!$D29+1)/(Tracker!$E29-Tracker!$D29+1)))</f>
        <v>1</v>
      </c>
    </row>
    <row r="25" ht="15.75" customHeight="1">
      <c r="A25" s="85" t="str">
        <f>Tracker!A30</f>
        <v>T22</v>
      </c>
      <c r="B25" s="27" t="str">
        <f>Tracker!C30</f>
        <v>QA testing, bug fixing and performance checks</v>
      </c>
      <c r="C25" s="35">
        <f>MAX(0,MIN(1,(C$3-Tracker!$D30+1)/(Tracker!$E30-Tracker!$D30+1)))</f>
        <v>0</v>
      </c>
      <c r="D25" s="35">
        <f>MAX(0,MIN(1,(D$3-Tracker!$D30+1)/(Tracker!$E30-Tracker!$D30+1)))</f>
        <v>0</v>
      </c>
      <c r="E25" s="35">
        <f>MAX(0,MIN(1,(E$3-Tracker!$D30+1)/(Tracker!$E30-Tracker!$D30+1)))</f>
        <v>0</v>
      </c>
      <c r="F25" s="35">
        <f>MAX(0,MIN(1,(F$3-Tracker!$D30+1)/(Tracker!$E30-Tracker!$D30+1)))</f>
        <v>0</v>
      </c>
      <c r="G25" s="35">
        <f>MAX(0,MIN(1,(G$3-Tracker!$D30+1)/(Tracker!$E30-Tracker!$D30+1)))</f>
        <v>0</v>
      </c>
      <c r="H25" s="35">
        <f>MAX(0,MIN(1,(H$3-Tracker!$D30+1)/(Tracker!$E30-Tracker!$D30+1)))</f>
        <v>0</v>
      </c>
      <c r="I25" s="35">
        <f>MAX(0,MIN(1,(I$3-Tracker!$D30+1)/(Tracker!$E30-Tracker!$D30+1)))</f>
        <v>0</v>
      </c>
      <c r="J25" s="35">
        <f>MAX(0,MIN(1,(J$3-Tracker!$D30+1)/(Tracker!$E30-Tracker!$D30+1)))</f>
        <v>0</v>
      </c>
      <c r="K25" s="35">
        <f>MAX(0,MIN(1,(K$3-Tracker!$D30+1)/(Tracker!$E30-Tracker!$D30+1)))</f>
        <v>0</v>
      </c>
      <c r="L25" s="35">
        <f>MAX(0,MIN(1,(L$3-Tracker!$D30+1)/(Tracker!$E30-Tracker!$D30+1)))</f>
        <v>0.333333333333333</v>
      </c>
      <c r="M25" s="35">
        <f>MAX(0,MIN(1,(M$3-Tracker!$D30+1)/(Tracker!$E30-Tracker!$D30+1)))</f>
        <v>0.666666666666667</v>
      </c>
      <c r="N25" s="35">
        <f>MAX(0,MIN(1,(N$3-Tracker!$D30+1)/(Tracker!$E30-Tracker!$D30+1)))</f>
        <v>1</v>
      </c>
      <c r="O25" s="35">
        <f>MAX(0,MIN(1,(O$3-Tracker!$D30+1)/(Tracker!$E30-Tracker!$D30+1)))</f>
        <v>1</v>
      </c>
      <c r="P25" s="35">
        <f>MAX(0,MIN(1,(P$3-Tracker!$D30+1)/(Tracker!$E30-Tracker!$D30+1)))</f>
        <v>1</v>
      </c>
    </row>
    <row r="26" ht="15.75" customHeight="1">
      <c r="A26" s="85" t="str">
        <f>Tracker!A31</f>
        <v>T23</v>
      </c>
      <c r="B26" s="27" t="str">
        <f>Tracker!C31</f>
        <v>UAT, pilot and go-live</v>
      </c>
      <c r="C26" s="35">
        <f>MAX(0,MIN(1,(C$3-Tracker!$D31+1)/(Tracker!$E31-Tracker!$D31+1)))</f>
        <v>0</v>
      </c>
      <c r="D26" s="35">
        <f>MAX(0,MIN(1,(D$3-Tracker!$D31+1)/(Tracker!$E31-Tracker!$D31+1)))</f>
        <v>0</v>
      </c>
      <c r="E26" s="35">
        <f>MAX(0,MIN(1,(E$3-Tracker!$D31+1)/(Tracker!$E31-Tracker!$D31+1)))</f>
        <v>0</v>
      </c>
      <c r="F26" s="35">
        <f>MAX(0,MIN(1,(F$3-Tracker!$D31+1)/(Tracker!$E31-Tracker!$D31+1)))</f>
        <v>0</v>
      </c>
      <c r="G26" s="35">
        <f>MAX(0,MIN(1,(G$3-Tracker!$D31+1)/(Tracker!$E31-Tracker!$D31+1)))</f>
        <v>0</v>
      </c>
      <c r="H26" s="35">
        <f>MAX(0,MIN(1,(H$3-Tracker!$D31+1)/(Tracker!$E31-Tracker!$D31+1)))</f>
        <v>0</v>
      </c>
      <c r="I26" s="35">
        <f>MAX(0,MIN(1,(I$3-Tracker!$D31+1)/(Tracker!$E31-Tracker!$D31+1)))</f>
        <v>0</v>
      </c>
      <c r="J26" s="35">
        <f>MAX(0,MIN(1,(J$3-Tracker!$D31+1)/(Tracker!$E31-Tracker!$D31+1)))</f>
        <v>0</v>
      </c>
      <c r="K26" s="35">
        <f>MAX(0,MIN(1,(K$3-Tracker!$D31+1)/(Tracker!$E31-Tracker!$D31+1)))</f>
        <v>0</v>
      </c>
      <c r="L26" s="35">
        <f>MAX(0,MIN(1,(L$3-Tracker!$D31+1)/(Tracker!$E31-Tracker!$D31+1)))</f>
        <v>0</v>
      </c>
      <c r="M26" s="35">
        <f>MAX(0,MIN(1,(M$3-Tracker!$D31+1)/(Tracker!$E31-Tracker!$D31+1)))</f>
        <v>0.5</v>
      </c>
      <c r="N26" s="35">
        <f>MAX(0,MIN(1,(N$3-Tracker!$D31+1)/(Tracker!$E31-Tracker!$D31+1)))</f>
        <v>1</v>
      </c>
      <c r="O26" s="35">
        <f>MAX(0,MIN(1,(O$3-Tracker!$D31+1)/(Tracker!$E31-Tracker!$D31+1)))</f>
        <v>1</v>
      </c>
      <c r="P26" s="35">
        <f>MAX(0,MIN(1,(P$3-Tracker!$D31+1)/(Tracker!$E31-Tracker!$D31+1)))</f>
        <v>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headerFooter>
    <oddFooter>&amp;L Project Owner: Louren Isobel Rubico&amp;R Page &amp;P of </oddFooter>
  </headerFooter>
  <drawing r:id="rId1"/>
</worksheet>
</file>